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kbtuedu.sharepoint.com/sites/ICT-Fall2024-2025-ICTWed13.00-14.00NurayToganas/Shared Documents/ICT Wed 13.00-14.00 Nuray Toganas/"/>
    </mc:Choice>
  </mc:AlternateContent>
  <xr:revisionPtr revIDLastSave="436" documentId="13_ncr:1_{5B795407-6FFE-4746-91B8-E797782FEA5A}" xr6:coauthVersionLast="47" xr6:coauthVersionMax="47" xr10:uidLastSave="{8FC68E4B-127B-4E6E-B833-5FEF5994DE64}"/>
  <bookViews>
    <workbookView xWindow="-120" yWindow="-120" windowWidth="29040" windowHeight="15720" xr2:uid="{00000000-000D-0000-FFFF-FFFF00000000}"/>
  </bookViews>
  <sheets>
    <sheet name="wed 13.00-14.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Z11" i="1" s="1"/>
  <c r="V12" i="1"/>
  <c r="Z12" i="1" s="1"/>
  <c r="V13" i="1"/>
  <c r="Z13" i="1" s="1"/>
  <c r="V14" i="1"/>
  <c r="Z14" i="1" s="1"/>
  <c r="V15" i="1"/>
  <c r="Z15" i="1" s="1"/>
  <c r="V16" i="1"/>
  <c r="Z16" i="1" s="1"/>
  <c r="V17" i="1"/>
  <c r="Z17" i="1" s="1"/>
  <c r="V18" i="1"/>
  <c r="Z18" i="1" s="1"/>
  <c r="V19" i="1"/>
  <c r="Z19" i="1" s="1"/>
  <c r="V20" i="1"/>
  <c r="Z20" i="1" s="1"/>
  <c r="V21" i="1"/>
  <c r="Z21" i="1" s="1"/>
  <c r="V22" i="1"/>
  <c r="Z22" i="1" s="1"/>
  <c r="V23" i="1"/>
  <c r="Z23" i="1" s="1"/>
  <c r="V24" i="1"/>
  <c r="Z24" i="1" s="1"/>
  <c r="V25" i="1"/>
  <c r="Z25" i="1" s="1"/>
  <c r="V26" i="1"/>
  <c r="Z26" i="1" s="1"/>
  <c r="V27" i="1"/>
  <c r="Z27" i="1" s="1"/>
  <c r="V28" i="1"/>
  <c r="Z28" i="1" s="1"/>
  <c r="V6" i="1"/>
  <c r="Z6" i="1" s="1"/>
  <c r="V7" i="1"/>
  <c r="Z7" i="1" s="1"/>
  <c r="V8" i="1"/>
  <c r="Z8" i="1" s="1"/>
  <c r="V9" i="1"/>
  <c r="Z9" i="1" s="1"/>
  <c r="V10" i="1"/>
  <c r="Z10" i="1" s="1"/>
  <c r="V5" i="1"/>
  <c r="Z5" i="1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5" i="1"/>
</calcChain>
</file>

<file path=xl/sharedStrings.xml><?xml version="1.0" encoding="utf-8"?>
<sst xmlns="http://schemas.openxmlformats.org/spreadsheetml/2006/main" count="74" uniqueCount="67">
  <si>
    <t xml:space="preserve">№ </t>
  </si>
  <si>
    <t xml:space="preserve">ID </t>
  </si>
  <si>
    <t>Week</t>
  </si>
  <si>
    <t>1 assessment (max = 30)</t>
  </si>
  <si>
    <t>2 assessment (max = 30)</t>
  </si>
  <si>
    <t>bonus point</t>
  </si>
  <si>
    <t>total</t>
  </si>
  <si>
    <t>Student</t>
  </si>
  <si>
    <t>lab 1</t>
  </si>
  <si>
    <t>lab 2</t>
  </si>
  <si>
    <t>quiz</t>
  </si>
  <si>
    <t>lab 3</t>
  </si>
  <si>
    <t>midterm</t>
  </si>
  <si>
    <t>lab 4</t>
  </si>
  <si>
    <t>lab 5</t>
  </si>
  <si>
    <t xml:space="preserve">endterm </t>
  </si>
  <si>
    <t>lab 6</t>
  </si>
  <si>
    <t>24B030025</t>
  </si>
  <si>
    <t>Абдуакилов Амир Айдарович</t>
  </si>
  <si>
    <t>24B031686</t>
  </si>
  <si>
    <t>Балтабек Ақниет Сейфуллаұлы</t>
  </si>
  <si>
    <t>24B031687</t>
  </si>
  <si>
    <t>Барахан Ақниет Сержанқызы</t>
  </si>
  <si>
    <t>24B030998</t>
  </si>
  <si>
    <t>Басарбек Шыңғысхан Айдарханұлы</t>
  </si>
  <si>
    <t>Task 1-3 11.09</t>
  </si>
  <si>
    <t>24B031688</t>
  </si>
  <si>
    <t>Батырбеков Ануар Мақсатұлы</t>
  </si>
  <si>
    <t>24B031689</t>
  </si>
  <si>
    <t>Батырбеков Жәнібек Нұрлыбекұлы</t>
  </si>
  <si>
    <t>24B031690</t>
  </si>
  <si>
    <t>Батыргелді Инсар Қуанышұлы</t>
  </si>
  <si>
    <t>24B031691</t>
  </si>
  <si>
    <t>Бауыржанұлы Қуанышбек</t>
  </si>
  <si>
    <t>24B031692</t>
  </si>
  <si>
    <t>Бахрамов Абдулазиз Бахрамович</t>
  </si>
  <si>
    <t>24B031693</t>
  </si>
  <si>
    <t>Бахтыбай Жеңіс Мұратұлы</t>
  </si>
  <si>
    <t>24B032192</t>
  </si>
  <si>
    <t>Бахытжан Абылай Саматұлы</t>
  </si>
  <si>
    <t>24B030999</t>
  </si>
  <si>
    <t>Бахытжан Мерей Асылханқызы</t>
  </si>
  <si>
    <t>24B031694</t>
  </si>
  <si>
    <t>Бахытжан Әмір Әнуарбекұлы</t>
  </si>
  <si>
    <t>24B031695</t>
  </si>
  <si>
    <t>Бахытқали Іңкәр Муратжанқызы</t>
  </si>
  <si>
    <t>доработка</t>
  </si>
  <si>
    <t>24B030288</t>
  </si>
  <si>
    <t>Башланов Александр Дмитриевич</t>
  </si>
  <si>
    <t>24B031696</t>
  </si>
  <si>
    <t>Баяндиев Әлибек Малгенұлы</t>
  </si>
  <si>
    <t>24B031000</t>
  </si>
  <si>
    <t>Баянов Амир Кайратович</t>
  </si>
  <si>
    <t>24B030991</t>
  </si>
  <si>
    <t>Бағдаулетқызы Ақбота</t>
  </si>
  <si>
    <t>24B031681</t>
  </si>
  <si>
    <t>Бақытжан Анель </t>
  </si>
  <si>
    <t>22B030152</t>
  </si>
  <si>
    <t>Сатыш Ернар Қанатбекұлы</t>
  </si>
  <si>
    <t>24B050487</t>
  </si>
  <si>
    <t>Қанатқызы Аяулым </t>
  </si>
  <si>
    <t>24B032143</t>
  </si>
  <si>
    <t>Қапсих Айбын Дарханұлы</t>
  </si>
  <si>
    <t>24B031139</t>
  </si>
  <si>
    <t>Қарасаева Аяулым Жеткербайқызы</t>
  </si>
  <si>
    <t>24B030027</t>
  </si>
  <si>
    <t>Қарсыбаев Абылайхан Асқарұлы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</si>
</sst>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workbookViewId="0">
      <pane xSplit="3" topLeftCell="D1" activePane="topRight" state="frozen"/>
      <selection pane="topRight" activeCell="F8" sqref="F8"/>
    </sheetView>
  </sheetViews>
  <sheetFormatPr defaultColWidth="8.85546875" defaultRowHeight="15"/>
  <cols>
    <col min="2" max="2" width="11.85546875" bestFit="1" customWidth="1"/>
    <col min="3" max="3" width="36.28515625" bestFit="1" customWidth="1"/>
    <col min="4" max="4" width="9.140625" style="5"/>
    <col min="5" max="5" width="17.42578125" customWidth="1"/>
    <col min="6" max="6" width="15.7109375" customWidth="1"/>
    <col min="7" max="7" width="10.28515625" customWidth="1"/>
    <col min="8" max="8" width="9.7109375" customWidth="1"/>
    <col min="9" max="9" width="11.28515625" customWidth="1"/>
    <col min="10" max="10" width="14.28515625" customWidth="1"/>
    <col min="13" max="13" width="9.7109375" bestFit="1" customWidth="1"/>
    <col min="20" max="20" width="16" customWidth="1"/>
    <col min="22" max="22" width="14.42578125" customWidth="1"/>
    <col min="24" max="24" width="12.85546875" customWidth="1"/>
    <col min="26" max="26" width="12.28515625" customWidth="1"/>
  </cols>
  <sheetData>
    <row r="1" spans="1:26" ht="15.75" customHeight="1">
      <c r="A1" s="24" t="s">
        <v>0</v>
      </c>
      <c r="B1" s="23" t="s">
        <v>1</v>
      </c>
      <c r="C1" s="6" t="s">
        <v>2</v>
      </c>
      <c r="D1" s="7">
        <v>1</v>
      </c>
      <c r="E1" s="1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T1" s="11" t="s">
        <v>3</v>
      </c>
      <c r="V1" s="11" t="s">
        <v>4</v>
      </c>
      <c r="X1" s="11" t="s">
        <v>5</v>
      </c>
      <c r="Z1" s="11" t="s">
        <v>6</v>
      </c>
    </row>
    <row r="2" spans="1:26" ht="15" customHeight="1">
      <c r="A2" s="24"/>
      <c r="B2" s="23"/>
      <c r="C2" s="25" t="s">
        <v>7</v>
      </c>
      <c r="D2" s="12"/>
      <c r="E2" s="12" t="s">
        <v>8</v>
      </c>
      <c r="F2" s="12"/>
      <c r="G2" s="12" t="s">
        <v>9</v>
      </c>
      <c r="H2" s="12" t="s">
        <v>10</v>
      </c>
      <c r="I2" s="12"/>
      <c r="J2" s="12" t="s">
        <v>11</v>
      </c>
      <c r="K2" s="12" t="s">
        <v>12</v>
      </c>
      <c r="L2" s="15" t="s">
        <v>13</v>
      </c>
      <c r="M2" s="16"/>
      <c r="N2" s="12" t="s">
        <v>14</v>
      </c>
      <c r="O2" s="12" t="s">
        <v>10</v>
      </c>
      <c r="P2" s="12"/>
      <c r="Q2" s="12" t="s">
        <v>15</v>
      </c>
      <c r="R2" s="12" t="s">
        <v>16</v>
      </c>
      <c r="T2" s="11"/>
      <c r="V2" s="11"/>
      <c r="X2" s="11"/>
      <c r="Z2" s="11"/>
    </row>
    <row r="3" spans="1:26" ht="15" customHeight="1">
      <c r="A3" s="24"/>
      <c r="B3" s="23"/>
      <c r="C3" s="26"/>
      <c r="D3" s="13"/>
      <c r="E3" s="13"/>
      <c r="F3" s="13"/>
      <c r="G3" s="13"/>
      <c r="H3" s="13"/>
      <c r="I3" s="13"/>
      <c r="J3" s="13"/>
      <c r="K3" s="13"/>
      <c r="L3" s="17"/>
      <c r="M3" s="18"/>
      <c r="N3" s="13"/>
      <c r="O3" s="13"/>
      <c r="P3" s="13"/>
      <c r="Q3" s="13"/>
      <c r="R3" s="13"/>
      <c r="T3" s="11"/>
      <c r="V3" s="11"/>
      <c r="X3" s="11"/>
      <c r="Z3" s="11"/>
    </row>
    <row r="4" spans="1:26" ht="15" customHeight="1">
      <c r="A4" s="24"/>
      <c r="B4" s="23"/>
      <c r="C4" s="27"/>
      <c r="D4" s="14"/>
      <c r="E4" s="14"/>
      <c r="F4" s="14"/>
      <c r="G4" s="14"/>
      <c r="H4" s="14"/>
      <c r="I4" s="14"/>
      <c r="J4" s="14"/>
      <c r="K4" s="14"/>
      <c r="L4" s="19"/>
      <c r="M4" s="20"/>
      <c r="N4" s="14"/>
      <c r="O4" s="14"/>
      <c r="P4" s="14"/>
      <c r="Q4" s="14"/>
      <c r="R4" s="14"/>
      <c r="T4" s="11"/>
      <c r="V4" s="11"/>
      <c r="X4" s="11"/>
      <c r="Z4" s="11"/>
    </row>
    <row r="5" spans="1:26" ht="15.75">
      <c r="A5" s="2">
        <v>1</v>
      </c>
      <c r="B5" s="3" t="s">
        <v>17</v>
      </c>
      <c r="C5" s="3" t="s">
        <v>18</v>
      </c>
      <c r="D5" s="4"/>
      <c r="E5" s="1"/>
      <c r="F5" s="1">
        <v>0</v>
      </c>
      <c r="G5" s="10">
        <v>3</v>
      </c>
      <c r="H5" s="9">
        <v>4</v>
      </c>
      <c r="I5" s="1"/>
      <c r="J5" s="1">
        <v>0</v>
      </c>
      <c r="K5" s="1">
        <v>8</v>
      </c>
      <c r="L5" s="1"/>
      <c r="M5" s="9">
        <v>3.7142857142857144</v>
      </c>
      <c r="N5" s="1"/>
      <c r="O5" s="1">
        <v>2.5</v>
      </c>
      <c r="P5" s="1"/>
      <c r="Q5" s="1"/>
      <c r="R5" s="1"/>
      <c r="T5" s="9">
        <f>SUM(F5:K5)</f>
        <v>15</v>
      </c>
      <c r="V5" s="9">
        <f>SUM(L5:R5)</f>
        <v>6.2142857142857144</v>
      </c>
      <c r="X5" s="9">
        <v>2</v>
      </c>
      <c r="Z5" s="9">
        <f>X5+V5+T5</f>
        <v>23.214285714285715</v>
      </c>
    </row>
    <row r="6" spans="1:26" ht="15.75">
      <c r="A6" s="2">
        <v>2</v>
      </c>
      <c r="B6" s="3" t="s">
        <v>19</v>
      </c>
      <c r="C6" s="3" t="s">
        <v>20</v>
      </c>
      <c r="D6" s="4"/>
      <c r="E6" s="1"/>
      <c r="F6" s="1">
        <v>2</v>
      </c>
      <c r="G6" s="10">
        <v>2.75</v>
      </c>
      <c r="H6" s="9">
        <v>4.21875</v>
      </c>
      <c r="I6" s="1"/>
      <c r="J6" s="1">
        <v>3.6</v>
      </c>
      <c r="K6" s="1">
        <v>11</v>
      </c>
      <c r="L6" s="1"/>
      <c r="M6" s="9">
        <v>4</v>
      </c>
      <c r="N6" s="1"/>
      <c r="O6" s="1">
        <v>3</v>
      </c>
      <c r="P6" s="1"/>
      <c r="Q6" s="1"/>
      <c r="R6" s="1"/>
      <c r="T6" s="9">
        <f t="shared" ref="T6:T28" si="0">SUM(F6:K6)</f>
        <v>23.568750000000001</v>
      </c>
      <c r="V6" s="9">
        <f t="shared" ref="V6:V28" si="1">SUM(L6:R6)</f>
        <v>7</v>
      </c>
      <c r="X6" s="9">
        <v>2</v>
      </c>
      <c r="Z6" s="9">
        <f t="shared" ref="Z6:Z28" si="2">X6+V6+T6</f>
        <v>32.568750000000001</v>
      </c>
    </row>
    <row r="7" spans="1:26" ht="15.75">
      <c r="A7" s="2">
        <v>3</v>
      </c>
      <c r="B7" s="3" t="s">
        <v>21</v>
      </c>
      <c r="C7" s="3" t="s">
        <v>22</v>
      </c>
      <c r="D7" s="4"/>
      <c r="E7" s="1"/>
      <c r="F7" s="1">
        <v>3.5</v>
      </c>
      <c r="G7" s="10">
        <v>4</v>
      </c>
      <c r="H7" s="9">
        <v>4.333333333333333</v>
      </c>
      <c r="I7" s="1"/>
      <c r="J7" s="1">
        <v>0</v>
      </c>
      <c r="K7" s="1">
        <v>8.5</v>
      </c>
      <c r="L7" s="1"/>
      <c r="M7" s="9">
        <v>0</v>
      </c>
      <c r="N7" s="1"/>
      <c r="O7" s="1">
        <v>3</v>
      </c>
      <c r="P7" s="1"/>
      <c r="Q7" s="1"/>
      <c r="R7" s="1"/>
      <c r="T7" s="9">
        <f t="shared" si="0"/>
        <v>20.333333333333332</v>
      </c>
      <c r="V7" s="9">
        <f t="shared" si="1"/>
        <v>3</v>
      </c>
      <c r="X7" s="9">
        <v>2</v>
      </c>
      <c r="Z7" s="9">
        <f t="shared" si="2"/>
        <v>25.333333333333332</v>
      </c>
    </row>
    <row r="8" spans="1:26" ht="15.75">
      <c r="A8" s="2">
        <v>4</v>
      </c>
      <c r="B8" s="3" t="s">
        <v>23</v>
      </c>
      <c r="C8" s="3" t="s">
        <v>24</v>
      </c>
      <c r="D8" s="4"/>
      <c r="E8" s="1" t="s">
        <v>25</v>
      </c>
      <c r="F8" s="1">
        <v>3.4</v>
      </c>
      <c r="G8" s="1">
        <v>4</v>
      </c>
      <c r="H8" s="9">
        <v>3.75</v>
      </c>
      <c r="I8" s="1"/>
      <c r="J8" s="1">
        <v>3.4</v>
      </c>
      <c r="K8" s="1">
        <v>11.5</v>
      </c>
      <c r="L8" s="1"/>
      <c r="M8" s="9">
        <v>4</v>
      </c>
      <c r="N8" s="1">
        <v>4</v>
      </c>
      <c r="O8" s="1">
        <v>3.5</v>
      </c>
      <c r="P8" s="1"/>
      <c r="Q8" s="1"/>
      <c r="R8" s="1"/>
      <c r="T8" s="9">
        <f t="shared" si="0"/>
        <v>26.05</v>
      </c>
      <c r="V8" s="9">
        <f t="shared" si="1"/>
        <v>11.5</v>
      </c>
      <c r="X8" s="9">
        <v>2</v>
      </c>
      <c r="Z8" s="9">
        <f t="shared" si="2"/>
        <v>39.549999999999997</v>
      </c>
    </row>
    <row r="9" spans="1:26" ht="15.75">
      <c r="A9" s="2">
        <v>5</v>
      </c>
      <c r="B9" s="3" t="s">
        <v>26</v>
      </c>
      <c r="C9" s="3" t="s">
        <v>27</v>
      </c>
      <c r="D9" s="4"/>
      <c r="E9" s="1"/>
      <c r="F9" s="1">
        <v>3.8</v>
      </c>
      <c r="G9" s="1">
        <v>3.25</v>
      </c>
      <c r="H9" s="9">
        <v>4.21875</v>
      </c>
      <c r="I9" s="21">
        <v>4</v>
      </c>
      <c r="J9" s="22"/>
      <c r="K9" s="1">
        <v>11.5</v>
      </c>
      <c r="L9" s="1"/>
      <c r="M9" s="9">
        <v>4</v>
      </c>
      <c r="N9" s="1">
        <v>4</v>
      </c>
      <c r="O9" s="1">
        <v>4</v>
      </c>
      <c r="P9" s="1"/>
      <c r="Q9" s="1"/>
      <c r="R9" s="1"/>
      <c r="T9" s="9">
        <f t="shared" si="0"/>
        <v>26.768750000000001</v>
      </c>
      <c r="V9" s="9">
        <f t="shared" si="1"/>
        <v>12</v>
      </c>
      <c r="X9" s="9"/>
      <c r="Z9" s="9">
        <f t="shared" si="2"/>
        <v>38.768749999999997</v>
      </c>
    </row>
    <row r="10" spans="1:26" ht="15.75">
      <c r="A10" s="2">
        <v>6</v>
      </c>
      <c r="B10" s="3" t="s">
        <v>28</v>
      </c>
      <c r="C10" s="3" t="s">
        <v>29</v>
      </c>
      <c r="D10" s="4"/>
      <c r="E10" s="1" t="s">
        <v>25</v>
      </c>
      <c r="F10" s="1">
        <v>4</v>
      </c>
      <c r="G10" s="1">
        <v>4</v>
      </c>
      <c r="H10" s="9">
        <v>5</v>
      </c>
      <c r="I10" s="1"/>
      <c r="J10" s="1">
        <v>4</v>
      </c>
      <c r="K10" s="1">
        <v>11</v>
      </c>
      <c r="L10" s="1"/>
      <c r="M10" s="9">
        <v>4</v>
      </c>
      <c r="N10" s="1"/>
      <c r="O10" s="1">
        <v>1.5</v>
      </c>
      <c r="P10" s="1"/>
      <c r="Q10" s="1"/>
      <c r="R10" s="1"/>
      <c r="T10" s="9">
        <f t="shared" si="0"/>
        <v>28</v>
      </c>
      <c r="V10" s="9">
        <f t="shared" si="1"/>
        <v>5.5</v>
      </c>
      <c r="X10" s="9">
        <v>2</v>
      </c>
      <c r="Z10" s="9">
        <f t="shared" si="2"/>
        <v>35.5</v>
      </c>
    </row>
    <row r="11" spans="1:26" ht="15.75">
      <c r="A11" s="2">
        <v>7</v>
      </c>
      <c r="B11" s="3" t="s">
        <v>30</v>
      </c>
      <c r="C11" s="3" t="s">
        <v>31</v>
      </c>
      <c r="D11" s="4"/>
      <c r="E11" s="1"/>
      <c r="F11" s="1">
        <v>3</v>
      </c>
      <c r="G11" s="10">
        <v>4</v>
      </c>
      <c r="H11" s="9">
        <v>4.375</v>
      </c>
      <c r="I11" s="1"/>
      <c r="J11" s="1">
        <v>2</v>
      </c>
      <c r="K11" s="1">
        <v>10</v>
      </c>
      <c r="L11" s="1"/>
      <c r="M11" s="9">
        <v>4</v>
      </c>
      <c r="N11" s="1">
        <v>4</v>
      </c>
      <c r="O11" s="1">
        <v>3</v>
      </c>
      <c r="P11" s="1"/>
      <c r="Q11" s="1"/>
      <c r="R11" s="1"/>
      <c r="T11" s="9">
        <f t="shared" si="0"/>
        <v>23.375</v>
      </c>
      <c r="V11" s="9">
        <f t="shared" si="1"/>
        <v>11</v>
      </c>
      <c r="X11" s="9">
        <v>2</v>
      </c>
      <c r="Z11" s="9">
        <f t="shared" si="2"/>
        <v>36.375</v>
      </c>
    </row>
    <row r="12" spans="1:26" ht="15.75">
      <c r="A12" s="2">
        <v>8</v>
      </c>
      <c r="B12" s="3" t="s">
        <v>32</v>
      </c>
      <c r="C12" s="3" t="s">
        <v>33</v>
      </c>
      <c r="D12" s="4"/>
      <c r="E12" s="1"/>
      <c r="F12" s="1">
        <v>4</v>
      </c>
      <c r="G12" s="1">
        <v>4</v>
      </c>
      <c r="H12" s="9">
        <v>2.7</v>
      </c>
      <c r="I12" s="1"/>
      <c r="J12" s="1">
        <v>3.7</v>
      </c>
      <c r="K12" s="1">
        <v>10</v>
      </c>
      <c r="L12" s="1"/>
      <c r="M12" s="9">
        <v>4</v>
      </c>
      <c r="N12" s="1">
        <v>4</v>
      </c>
      <c r="O12" s="1">
        <v>1.5</v>
      </c>
      <c r="P12" s="1"/>
      <c r="Q12" s="1"/>
      <c r="R12" s="1"/>
      <c r="T12" s="9">
        <f t="shared" si="0"/>
        <v>24.4</v>
      </c>
      <c r="V12" s="9">
        <f t="shared" si="1"/>
        <v>9.5</v>
      </c>
      <c r="X12" s="9">
        <v>2</v>
      </c>
      <c r="Z12" s="9">
        <f t="shared" si="2"/>
        <v>35.9</v>
      </c>
    </row>
    <row r="13" spans="1:26" ht="15.75">
      <c r="A13" s="2">
        <v>9</v>
      </c>
      <c r="B13" s="3" t="s">
        <v>34</v>
      </c>
      <c r="C13" s="3" t="s">
        <v>35</v>
      </c>
      <c r="D13" s="4"/>
      <c r="E13" s="1"/>
      <c r="F13" s="1">
        <v>3.6</v>
      </c>
      <c r="G13" s="10">
        <v>3.5</v>
      </c>
      <c r="H13" s="9">
        <v>4.375</v>
      </c>
      <c r="I13" s="1"/>
      <c r="J13" s="1">
        <v>1.8</v>
      </c>
      <c r="K13" s="1">
        <v>9.5</v>
      </c>
      <c r="L13" s="1"/>
      <c r="M13" s="9">
        <v>4</v>
      </c>
      <c r="N13" s="1"/>
      <c r="O13" s="1">
        <v>4</v>
      </c>
      <c r="P13" s="1"/>
      <c r="Q13" s="1"/>
      <c r="R13" s="1"/>
      <c r="T13" s="9">
        <f t="shared" si="0"/>
        <v>22.774999999999999</v>
      </c>
      <c r="V13" s="9">
        <f t="shared" si="1"/>
        <v>8</v>
      </c>
      <c r="X13" s="9"/>
      <c r="Z13" s="9">
        <f t="shared" si="2"/>
        <v>30.774999999999999</v>
      </c>
    </row>
    <row r="14" spans="1:26" ht="15.75">
      <c r="A14" s="2">
        <v>10</v>
      </c>
      <c r="B14" s="3" t="s">
        <v>36</v>
      </c>
      <c r="C14" s="3" t="s">
        <v>37</v>
      </c>
      <c r="D14" s="4"/>
      <c r="E14" s="1"/>
      <c r="F14" s="1">
        <v>3.1</v>
      </c>
      <c r="G14" s="10">
        <v>2.25</v>
      </c>
      <c r="H14" s="9">
        <v>4.6666666666666661</v>
      </c>
      <c r="I14" s="1"/>
      <c r="J14" s="1">
        <v>4</v>
      </c>
      <c r="K14" s="1">
        <v>10</v>
      </c>
      <c r="L14" s="1"/>
      <c r="M14" s="9">
        <v>4</v>
      </c>
      <c r="N14" s="1"/>
      <c r="O14" s="1">
        <v>4</v>
      </c>
      <c r="P14" s="1"/>
      <c r="Q14" s="1"/>
      <c r="R14" s="1"/>
      <c r="T14" s="9">
        <f t="shared" si="0"/>
        <v>24.016666666666666</v>
      </c>
      <c r="V14" s="9">
        <f t="shared" si="1"/>
        <v>8</v>
      </c>
      <c r="X14" s="9">
        <v>2</v>
      </c>
      <c r="Z14" s="9">
        <f t="shared" si="2"/>
        <v>34.016666666666666</v>
      </c>
    </row>
    <row r="15" spans="1:26" ht="15.75">
      <c r="A15" s="2">
        <v>11</v>
      </c>
      <c r="B15" s="3" t="s">
        <v>38</v>
      </c>
      <c r="C15" s="3" t="s">
        <v>39</v>
      </c>
      <c r="D15" s="4"/>
      <c r="E15" s="1"/>
      <c r="F15" s="1">
        <v>1.5</v>
      </c>
      <c r="G15" s="10">
        <v>4</v>
      </c>
      <c r="H15" s="9">
        <v>4.53125</v>
      </c>
      <c r="I15" s="1"/>
      <c r="J15" s="1">
        <v>3.8</v>
      </c>
      <c r="K15" s="1">
        <v>9.5</v>
      </c>
      <c r="L15" s="1"/>
      <c r="M15" s="9">
        <v>4</v>
      </c>
      <c r="N15" s="1"/>
      <c r="O15" s="1">
        <v>2</v>
      </c>
      <c r="P15" s="1"/>
      <c r="Q15" s="1"/>
      <c r="R15" s="1"/>
      <c r="T15" s="9">
        <f t="shared" si="0"/>
        <v>23.331250000000001</v>
      </c>
      <c r="V15" s="9">
        <f t="shared" si="1"/>
        <v>6</v>
      </c>
      <c r="X15" s="9">
        <v>2</v>
      </c>
      <c r="Z15" s="9">
        <f t="shared" si="2"/>
        <v>31.331250000000001</v>
      </c>
    </row>
    <row r="16" spans="1:26" ht="15.75">
      <c r="A16" s="2">
        <v>12</v>
      </c>
      <c r="B16" s="3" t="s">
        <v>40</v>
      </c>
      <c r="C16" s="3" t="s">
        <v>41</v>
      </c>
      <c r="D16" s="4"/>
      <c r="E16" s="1"/>
      <c r="F16" s="1">
        <v>4</v>
      </c>
      <c r="G16" s="10">
        <v>4</v>
      </c>
      <c r="H16" s="9">
        <v>4.333333333333333</v>
      </c>
      <c r="I16" s="1"/>
      <c r="J16" s="1">
        <v>2.5</v>
      </c>
      <c r="K16" s="1">
        <v>10.5</v>
      </c>
      <c r="L16" s="1"/>
      <c r="M16" s="9">
        <v>4</v>
      </c>
      <c r="N16" s="1">
        <v>4</v>
      </c>
      <c r="O16" s="1">
        <v>3</v>
      </c>
      <c r="P16" s="1"/>
      <c r="Q16" s="1"/>
      <c r="R16" s="1"/>
      <c r="T16" s="9">
        <f t="shared" si="0"/>
        <v>25.333333333333332</v>
      </c>
      <c r="V16" s="9">
        <f t="shared" si="1"/>
        <v>11</v>
      </c>
      <c r="X16" s="9">
        <v>2</v>
      </c>
      <c r="Z16" s="9">
        <f t="shared" si="2"/>
        <v>38.333333333333329</v>
      </c>
    </row>
    <row r="17" spans="1:26" ht="15.75">
      <c r="A17" s="2">
        <v>13</v>
      </c>
      <c r="B17" s="3" t="s">
        <v>42</v>
      </c>
      <c r="C17" s="3" t="s">
        <v>43</v>
      </c>
      <c r="D17" s="4"/>
      <c r="E17" s="1"/>
      <c r="F17" s="1">
        <v>3</v>
      </c>
      <c r="G17" s="10">
        <v>4</v>
      </c>
      <c r="H17" s="9">
        <v>4.375</v>
      </c>
      <c r="I17" s="1"/>
      <c r="J17" s="1">
        <v>4</v>
      </c>
      <c r="K17" s="1">
        <v>10.5</v>
      </c>
      <c r="L17" s="1"/>
      <c r="M17" s="9">
        <v>4</v>
      </c>
      <c r="N17" s="1"/>
      <c r="O17" s="1">
        <v>2.5</v>
      </c>
      <c r="P17" s="1"/>
      <c r="Q17" s="1"/>
      <c r="R17" s="1"/>
      <c r="T17" s="9">
        <f t="shared" si="0"/>
        <v>25.875</v>
      </c>
      <c r="V17" s="9">
        <f t="shared" si="1"/>
        <v>6.5</v>
      </c>
      <c r="X17" s="9">
        <v>2</v>
      </c>
      <c r="Z17" s="9">
        <f t="shared" si="2"/>
        <v>34.375</v>
      </c>
    </row>
    <row r="18" spans="1:26" ht="15.75">
      <c r="A18" s="2">
        <v>14</v>
      </c>
      <c r="B18" s="3" t="s">
        <v>44</v>
      </c>
      <c r="C18" s="3" t="s">
        <v>45</v>
      </c>
      <c r="D18" s="4"/>
      <c r="E18" s="1" t="s">
        <v>25</v>
      </c>
      <c r="F18" s="10">
        <v>3.6</v>
      </c>
      <c r="G18" s="10">
        <v>4</v>
      </c>
      <c r="H18" s="9">
        <v>5</v>
      </c>
      <c r="I18" s="1"/>
      <c r="J18" s="1">
        <v>3.8</v>
      </c>
      <c r="K18" s="1">
        <v>12</v>
      </c>
      <c r="L18" s="1"/>
      <c r="M18" s="9">
        <v>4</v>
      </c>
      <c r="N18" s="1" t="s">
        <v>46</v>
      </c>
      <c r="O18" s="1">
        <v>2.5</v>
      </c>
      <c r="P18" s="1"/>
      <c r="Q18" s="1"/>
      <c r="R18" s="1"/>
      <c r="T18" s="9">
        <f t="shared" si="0"/>
        <v>28.4</v>
      </c>
      <c r="V18" s="9">
        <f t="shared" si="1"/>
        <v>6.5</v>
      </c>
      <c r="X18" s="9">
        <v>2</v>
      </c>
      <c r="Z18" s="9">
        <f t="shared" si="2"/>
        <v>36.9</v>
      </c>
    </row>
    <row r="19" spans="1:26" ht="15.75">
      <c r="A19" s="2">
        <v>15</v>
      </c>
      <c r="B19" s="3" t="s">
        <v>47</v>
      </c>
      <c r="C19" s="3" t="s">
        <v>48</v>
      </c>
      <c r="D19" s="4"/>
      <c r="E19" s="1"/>
      <c r="F19" s="10">
        <v>4</v>
      </c>
      <c r="G19" s="10">
        <v>3.75</v>
      </c>
      <c r="H19" s="9">
        <v>4.333333333333333</v>
      </c>
      <c r="I19" s="1"/>
      <c r="J19" s="1">
        <v>4</v>
      </c>
      <c r="K19" s="1">
        <v>11.5</v>
      </c>
      <c r="L19" s="1"/>
      <c r="M19" s="9">
        <v>3.7142857142857144</v>
      </c>
      <c r="N19" s="1" t="s">
        <v>46</v>
      </c>
      <c r="O19" s="1">
        <v>1.5</v>
      </c>
      <c r="P19" s="1"/>
      <c r="Q19" s="1"/>
      <c r="R19" s="1"/>
      <c r="T19" s="9">
        <f t="shared" si="0"/>
        <v>27.583333333333332</v>
      </c>
      <c r="V19" s="9">
        <f t="shared" si="1"/>
        <v>5.2142857142857144</v>
      </c>
      <c r="X19" s="9">
        <v>2</v>
      </c>
      <c r="Z19" s="9">
        <f t="shared" si="2"/>
        <v>34.797619047619044</v>
      </c>
    </row>
    <row r="20" spans="1:26" ht="15.75">
      <c r="A20" s="2">
        <v>16</v>
      </c>
      <c r="B20" s="3" t="s">
        <v>49</v>
      </c>
      <c r="C20" s="3" t="s">
        <v>50</v>
      </c>
      <c r="D20" s="4"/>
      <c r="E20" s="1"/>
      <c r="F20" s="10">
        <v>3.1</v>
      </c>
      <c r="G20" s="10">
        <v>4</v>
      </c>
      <c r="H20" s="9">
        <v>4</v>
      </c>
      <c r="I20" s="1"/>
      <c r="J20" s="1">
        <v>3.8</v>
      </c>
      <c r="K20" s="1">
        <v>11.5</v>
      </c>
      <c r="L20" s="1"/>
      <c r="M20" s="9">
        <v>4</v>
      </c>
      <c r="N20" s="1"/>
      <c r="O20" s="1">
        <v>1.5</v>
      </c>
      <c r="P20" s="1"/>
      <c r="Q20" s="1"/>
      <c r="R20" s="1"/>
      <c r="T20" s="9">
        <f t="shared" si="0"/>
        <v>26.4</v>
      </c>
      <c r="V20" s="9">
        <f t="shared" si="1"/>
        <v>5.5</v>
      </c>
      <c r="X20" s="9">
        <v>2</v>
      </c>
      <c r="Z20" s="9">
        <f t="shared" si="2"/>
        <v>33.9</v>
      </c>
    </row>
    <row r="21" spans="1:26" ht="15.75">
      <c r="A21" s="2">
        <v>17</v>
      </c>
      <c r="B21" s="3" t="s">
        <v>51</v>
      </c>
      <c r="C21" s="3" t="s">
        <v>52</v>
      </c>
      <c r="D21" s="4"/>
      <c r="E21" s="1"/>
      <c r="F21" s="10">
        <v>3.2</v>
      </c>
      <c r="G21" s="10">
        <v>3</v>
      </c>
      <c r="H21" s="9">
        <v>4.6666666666666661</v>
      </c>
      <c r="I21" s="1"/>
      <c r="J21" s="1">
        <v>0</v>
      </c>
      <c r="K21" s="1">
        <v>12.5</v>
      </c>
      <c r="L21" s="1"/>
      <c r="M21" s="9">
        <v>4</v>
      </c>
      <c r="N21" s="1" t="s">
        <v>46</v>
      </c>
      <c r="O21" s="1">
        <v>3.5</v>
      </c>
      <c r="P21" s="1"/>
      <c r="Q21" s="1"/>
      <c r="R21" s="1"/>
      <c r="T21" s="9">
        <f t="shared" si="0"/>
        <v>23.366666666666667</v>
      </c>
      <c r="V21" s="9">
        <f t="shared" si="1"/>
        <v>7.5</v>
      </c>
      <c r="X21" s="9">
        <v>2</v>
      </c>
      <c r="Z21" s="9">
        <f t="shared" si="2"/>
        <v>32.866666666666667</v>
      </c>
    </row>
    <row r="22" spans="1:26" ht="15.75">
      <c r="A22" s="2">
        <v>18</v>
      </c>
      <c r="B22" s="3" t="s">
        <v>53</v>
      </c>
      <c r="C22" s="3" t="s">
        <v>54</v>
      </c>
      <c r="D22" s="4"/>
      <c r="E22" s="1"/>
      <c r="F22" s="10">
        <v>4</v>
      </c>
      <c r="G22" s="10">
        <v>3.5</v>
      </c>
      <c r="H22" s="9">
        <v>4.333333333333333</v>
      </c>
      <c r="I22" s="1"/>
      <c r="J22" s="1">
        <v>4</v>
      </c>
      <c r="K22" s="1">
        <v>9</v>
      </c>
      <c r="L22" s="1"/>
      <c r="M22" s="9">
        <v>4</v>
      </c>
      <c r="N22" s="1"/>
      <c r="O22" s="1">
        <v>2</v>
      </c>
      <c r="P22" s="1"/>
      <c r="Q22" s="1"/>
      <c r="R22" s="1"/>
      <c r="T22" s="9">
        <f t="shared" si="0"/>
        <v>24.833333333333332</v>
      </c>
      <c r="V22" s="9">
        <f t="shared" si="1"/>
        <v>6</v>
      </c>
      <c r="X22" s="9">
        <v>2</v>
      </c>
      <c r="Z22" s="9">
        <f t="shared" si="2"/>
        <v>32.833333333333329</v>
      </c>
    </row>
    <row r="23" spans="1:26" ht="15.75">
      <c r="A23" s="2">
        <v>19</v>
      </c>
      <c r="B23" s="3" t="s">
        <v>55</v>
      </c>
      <c r="C23" s="3" t="s">
        <v>56</v>
      </c>
      <c r="D23" s="4"/>
      <c r="E23" s="1"/>
      <c r="F23" s="1">
        <v>1.5</v>
      </c>
      <c r="G23" s="10">
        <v>4</v>
      </c>
      <c r="H23" s="9">
        <v>4.6875</v>
      </c>
      <c r="I23" s="1"/>
      <c r="J23" s="1">
        <v>4</v>
      </c>
      <c r="K23" s="1">
        <v>13</v>
      </c>
      <c r="L23" s="1"/>
      <c r="M23" s="9">
        <v>4</v>
      </c>
      <c r="N23" s="1">
        <v>4</v>
      </c>
      <c r="O23" s="1">
        <v>3</v>
      </c>
      <c r="P23" s="1"/>
      <c r="Q23" s="1"/>
      <c r="R23" s="1"/>
      <c r="T23" s="9">
        <f t="shared" si="0"/>
        <v>27.1875</v>
      </c>
      <c r="V23" s="9">
        <f t="shared" si="1"/>
        <v>11</v>
      </c>
      <c r="X23" s="9">
        <v>2</v>
      </c>
      <c r="Z23" s="9">
        <f t="shared" si="2"/>
        <v>40.1875</v>
      </c>
    </row>
    <row r="24" spans="1:26" ht="15.75">
      <c r="A24" s="2">
        <v>20</v>
      </c>
      <c r="B24" s="3" t="s">
        <v>57</v>
      </c>
      <c r="C24" s="3" t="s">
        <v>58</v>
      </c>
      <c r="D24" s="4"/>
      <c r="E24" s="1"/>
      <c r="F24" s="1">
        <v>4</v>
      </c>
      <c r="G24" s="10">
        <v>0</v>
      </c>
      <c r="H24" s="9">
        <v>4.375</v>
      </c>
      <c r="I24" s="1"/>
      <c r="J24" s="1">
        <v>0</v>
      </c>
      <c r="K24" s="1">
        <v>6.5</v>
      </c>
      <c r="L24" s="1"/>
      <c r="M24" s="9">
        <v>0</v>
      </c>
      <c r="N24" s="1">
        <v>4</v>
      </c>
      <c r="O24" s="1">
        <v>2.5</v>
      </c>
      <c r="P24" s="1"/>
      <c r="Q24" s="1"/>
      <c r="R24" s="1"/>
      <c r="T24" s="9">
        <f t="shared" si="0"/>
        <v>14.875</v>
      </c>
      <c r="V24" s="9">
        <f t="shared" si="1"/>
        <v>6.5</v>
      </c>
      <c r="X24" s="9">
        <v>2</v>
      </c>
      <c r="Z24" s="9">
        <f t="shared" si="2"/>
        <v>23.375</v>
      </c>
    </row>
    <row r="25" spans="1:26" ht="15.75">
      <c r="A25" s="2">
        <v>21</v>
      </c>
      <c r="B25" s="3" t="s">
        <v>59</v>
      </c>
      <c r="C25" s="3" t="s">
        <v>60</v>
      </c>
      <c r="D25" s="4"/>
      <c r="E25" s="1"/>
      <c r="F25" s="1">
        <v>4</v>
      </c>
      <c r="G25" s="10">
        <v>4</v>
      </c>
      <c r="H25" s="9">
        <v>4.333333333333333</v>
      </c>
      <c r="I25" s="1"/>
      <c r="J25" s="1">
        <v>3.6</v>
      </c>
      <c r="K25" s="1">
        <v>8.5</v>
      </c>
      <c r="L25" s="1"/>
      <c r="M25" s="9">
        <v>4</v>
      </c>
      <c r="N25" s="1"/>
      <c r="O25" s="1">
        <v>3.5</v>
      </c>
      <c r="P25" s="1"/>
      <c r="Q25" s="1"/>
      <c r="R25" s="1"/>
      <c r="T25" s="9">
        <f t="shared" si="0"/>
        <v>24.43333333333333</v>
      </c>
      <c r="V25" s="9">
        <f t="shared" si="1"/>
        <v>7.5</v>
      </c>
      <c r="X25" s="9">
        <v>2</v>
      </c>
      <c r="Z25" s="9">
        <f t="shared" si="2"/>
        <v>33.93333333333333</v>
      </c>
    </row>
    <row r="26" spans="1:26" ht="15.75">
      <c r="A26" s="2">
        <v>22</v>
      </c>
      <c r="B26" s="3" t="s">
        <v>61</v>
      </c>
      <c r="C26" s="3" t="s">
        <v>62</v>
      </c>
      <c r="D26" s="4"/>
      <c r="E26" s="1"/>
      <c r="F26" s="1">
        <v>1.5</v>
      </c>
      <c r="G26" s="10">
        <v>3</v>
      </c>
      <c r="H26" s="9">
        <v>3.125</v>
      </c>
      <c r="I26" s="1"/>
      <c r="J26" s="1">
        <v>3.6</v>
      </c>
      <c r="K26" s="1">
        <v>6</v>
      </c>
      <c r="L26" s="1"/>
      <c r="M26" s="9">
        <v>4</v>
      </c>
      <c r="N26" s="1">
        <v>4</v>
      </c>
      <c r="O26" s="1">
        <v>1.5</v>
      </c>
      <c r="P26" s="1"/>
      <c r="Q26" s="1"/>
      <c r="R26" s="1"/>
      <c r="T26" s="9">
        <f t="shared" si="0"/>
        <v>17.225000000000001</v>
      </c>
      <c r="V26" s="9">
        <f t="shared" si="1"/>
        <v>9.5</v>
      </c>
      <c r="X26" s="9">
        <v>2</v>
      </c>
      <c r="Z26" s="9">
        <f t="shared" si="2"/>
        <v>28.725000000000001</v>
      </c>
    </row>
    <row r="27" spans="1:26" ht="15.75">
      <c r="A27" s="2">
        <v>23</v>
      </c>
      <c r="B27" s="3" t="s">
        <v>63</v>
      </c>
      <c r="C27" s="3" t="s">
        <v>64</v>
      </c>
      <c r="D27" s="4"/>
      <c r="E27" s="1" t="s">
        <v>25</v>
      </c>
      <c r="F27" s="1">
        <v>4</v>
      </c>
      <c r="G27" s="10">
        <v>4</v>
      </c>
      <c r="H27" s="9">
        <v>4.0625</v>
      </c>
      <c r="I27" s="1"/>
      <c r="J27" s="1">
        <v>3</v>
      </c>
      <c r="K27" s="1">
        <v>10</v>
      </c>
      <c r="L27" s="1"/>
      <c r="M27" s="9">
        <v>4</v>
      </c>
      <c r="N27" s="1">
        <v>4</v>
      </c>
      <c r="O27" s="1">
        <v>1</v>
      </c>
      <c r="P27" s="1"/>
      <c r="Q27" s="1"/>
      <c r="R27" s="1"/>
      <c r="T27" s="9">
        <f t="shared" si="0"/>
        <v>25.0625</v>
      </c>
      <c r="V27" s="9">
        <f t="shared" si="1"/>
        <v>9</v>
      </c>
      <c r="X27" s="9">
        <v>2</v>
      </c>
      <c r="Z27" s="9">
        <f t="shared" si="2"/>
        <v>36.0625</v>
      </c>
    </row>
    <row r="28" spans="1:26" ht="15.75">
      <c r="A28" s="2">
        <v>24</v>
      </c>
      <c r="B28" s="3" t="s">
        <v>65</v>
      </c>
      <c r="C28" s="3" t="s">
        <v>66</v>
      </c>
      <c r="D28" s="4"/>
      <c r="E28" s="1" t="s">
        <v>25</v>
      </c>
      <c r="F28" s="1">
        <v>2</v>
      </c>
      <c r="G28" s="10">
        <v>4</v>
      </c>
      <c r="H28" s="9">
        <v>4.6666666666666661</v>
      </c>
      <c r="I28" s="1"/>
      <c r="J28" s="1">
        <v>3.6</v>
      </c>
      <c r="K28" s="1">
        <v>8.5</v>
      </c>
      <c r="L28" s="1"/>
      <c r="M28" s="9">
        <v>0</v>
      </c>
      <c r="N28" s="1"/>
      <c r="O28" s="1">
        <v>1.5</v>
      </c>
      <c r="P28" s="1"/>
      <c r="Q28" s="1"/>
      <c r="R28" s="1"/>
      <c r="T28" s="9">
        <f t="shared" si="0"/>
        <v>22.766666666666666</v>
      </c>
      <c r="V28" s="9">
        <f t="shared" si="1"/>
        <v>1.5</v>
      </c>
      <c r="X28" s="9">
        <v>2</v>
      </c>
      <c r="Z28" s="9">
        <f t="shared" si="2"/>
        <v>26.266666666666666</v>
      </c>
    </row>
  </sheetData>
  <mergeCells count="22">
    <mergeCell ref="L2:M4"/>
    <mergeCell ref="I9:J9"/>
    <mergeCell ref="V1:V4"/>
    <mergeCell ref="B1:B4"/>
    <mergeCell ref="A1:A4"/>
    <mergeCell ref="E2:E4"/>
    <mergeCell ref="F2:F4"/>
    <mergeCell ref="D2:D4"/>
    <mergeCell ref="C2:C4"/>
    <mergeCell ref="R2:R4"/>
    <mergeCell ref="G2:G4"/>
    <mergeCell ref="H2:H4"/>
    <mergeCell ref="I2:I4"/>
    <mergeCell ref="J2:J4"/>
    <mergeCell ref="K2:K4"/>
    <mergeCell ref="N2:N4"/>
    <mergeCell ref="X1:X4"/>
    <mergeCell ref="Z1:Z4"/>
    <mergeCell ref="O2:O4"/>
    <mergeCell ref="P2:P4"/>
    <mergeCell ref="Q2:Q4"/>
    <mergeCell ref="T1:T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BFA38007DC7104FB2429E2579BC0EF8" ma:contentTypeVersion="4" ma:contentTypeDescription="Создание документа." ma:contentTypeScope="" ma:versionID="2cf488e11441e3463d8dedb307c3980a">
  <xsd:schema xmlns:xsd="http://www.w3.org/2001/XMLSchema" xmlns:xs="http://www.w3.org/2001/XMLSchema" xmlns:p="http://schemas.microsoft.com/office/2006/metadata/properties" xmlns:ns2="99463f5b-32bc-4741-a841-59158d58ed41" targetNamespace="http://schemas.microsoft.com/office/2006/metadata/properties" ma:root="true" ma:fieldsID="3e73052fe200ad59fa95e40574bba883" ns2:_="">
    <xsd:import namespace="99463f5b-32bc-4741-a841-59158d58e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63f5b-32bc-4741-a841-59158d58e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F88368-80E0-4D1A-97E9-EE63FA7594C4}"/>
</file>

<file path=customXml/itemProps2.xml><?xml version="1.0" encoding="utf-8"?>
<ds:datastoreItem xmlns:ds="http://schemas.openxmlformats.org/officeDocument/2006/customXml" ds:itemID="{365DB1BA-D130-4DBC-B0B6-D97C4EF9BCE7}"/>
</file>

<file path=customXml/itemProps3.xml><?xml version="1.0" encoding="utf-8"?>
<ds:datastoreItem xmlns:ds="http://schemas.openxmlformats.org/officeDocument/2006/customXml" ds:itemID="{B6FE5CC4-544B-4EA3-8732-16B17E1B5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Nurai Toganas</cp:lastModifiedBy>
  <cp:revision/>
  <dcterms:created xsi:type="dcterms:W3CDTF">2024-09-08T20:39:46Z</dcterms:created>
  <dcterms:modified xsi:type="dcterms:W3CDTF">2024-12-09T14:27:17Z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0x0101000BFA38007DC7104FB2429E2579BC0EF8</vt:lpwstr>
  </property>
</Properties>
</file>