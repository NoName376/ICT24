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6D7401E-822E-4619-BE7A-06B03B9B5B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Map" sheetId="5" r:id="rId2"/>
  </sheets>
  <definedNames>
    <definedName name="_xlnm._FilterDatabase" localSheetId="1" hidden="1">Map!$A$1:$C$539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22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O523" i="1"/>
  <c r="V322" i="1"/>
  <c r="T32" i="1"/>
  <c r="V32" i="1" s="1"/>
  <c r="T80" i="1"/>
  <c r="V80" i="1" s="1"/>
  <c r="T104" i="1"/>
  <c r="V104" i="1" s="1"/>
  <c r="T123" i="1"/>
  <c r="V123" i="1" s="1"/>
  <c r="T124" i="1"/>
  <c r="V124" i="1" s="1"/>
  <c r="T127" i="1"/>
  <c r="V127" i="1" s="1"/>
  <c r="T147" i="1"/>
  <c r="V147" i="1" s="1"/>
  <c r="T200" i="1"/>
  <c r="V200" i="1" s="1"/>
  <c r="T223" i="1"/>
  <c r="V223" i="1" s="1"/>
  <c r="T224" i="1"/>
  <c r="V224" i="1" s="1"/>
  <c r="T250" i="1"/>
  <c r="V250" i="1" s="1"/>
  <c r="T251" i="1"/>
  <c r="V251" i="1" s="1"/>
  <c r="T295" i="1"/>
  <c r="V295" i="1" s="1"/>
  <c r="T315" i="1"/>
  <c r="V315" i="1" s="1"/>
  <c r="T319" i="1"/>
  <c r="V319" i="1" s="1"/>
  <c r="T411" i="1"/>
  <c r="V411" i="1" s="1"/>
  <c r="T412" i="1"/>
  <c r="V412" i="1" s="1"/>
  <c r="T413" i="1"/>
  <c r="V413" i="1" s="1"/>
  <c r="T415" i="1"/>
  <c r="V415" i="1" s="1"/>
  <c r="T483" i="1"/>
  <c r="V483" i="1" s="1"/>
  <c r="T484" i="1"/>
  <c r="V484" i="1" s="1"/>
  <c r="T511" i="1"/>
  <c r="V511" i="1" s="1"/>
  <c r="T512" i="1"/>
  <c r="V512" i="1" s="1"/>
  <c r="S11" i="1"/>
  <c r="T11" i="1" s="1"/>
  <c r="V11" i="1" s="1"/>
  <c r="S12" i="1"/>
  <c r="T12" i="1" s="1"/>
  <c r="V12" i="1" s="1"/>
  <c r="S13" i="1"/>
  <c r="T13" i="1" s="1"/>
  <c r="V13" i="1" s="1"/>
  <c r="S14" i="1"/>
  <c r="T14" i="1" s="1"/>
  <c r="V14" i="1" s="1"/>
  <c r="S16" i="1"/>
  <c r="T16" i="1" s="1"/>
  <c r="V16" i="1" s="1"/>
  <c r="S34" i="1"/>
  <c r="T34" i="1" s="1"/>
  <c r="V34" i="1" s="1"/>
  <c r="S35" i="1"/>
  <c r="T35" i="1" s="1"/>
  <c r="V35" i="1" s="1"/>
  <c r="S58" i="1"/>
  <c r="T58" i="1" s="1"/>
  <c r="V58" i="1" s="1"/>
  <c r="S77" i="1"/>
  <c r="T77" i="1" s="1"/>
  <c r="V77" i="1" s="1"/>
  <c r="S78" i="1"/>
  <c r="T78" i="1" s="1"/>
  <c r="V78" i="1" s="1"/>
  <c r="S101" i="1"/>
  <c r="T101" i="1" s="1"/>
  <c r="V101" i="1" s="1"/>
  <c r="S125" i="1"/>
  <c r="T125" i="1" s="1"/>
  <c r="V125" i="1" s="1"/>
  <c r="S126" i="1"/>
  <c r="T126" i="1" s="1"/>
  <c r="V126" i="1" s="1"/>
  <c r="S130" i="1"/>
  <c r="T130" i="1" s="1"/>
  <c r="V130" i="1" s="1"/>
  <c r="S149" i="1"/>
  <c r="T149" i="1" s="1"/>
  <c r="V149" i="1" s="1"/>
  <c r="S177" i="1"/>
  <c r="T177" i="1" s="1"/>
  <c r="V177" i="1" s="1"/>
  <c r="S178" i="1"/>
  <c r="T178" i="1" s="1"/>
  <c r="V178" i="1" s="1"/>
  <c r="S179" i="1"/>
  <c r="T179" i="1" s="1"/>
  <c r="V179" i="1" s="1"/>
  <c r="S202" i="1"/>
  <c r="T202" i="1" s="1"/>
  <c r="V202" i="1" s="1"/>
  <c r="S248" i="1"/>
  <c r="T248" i="1" s="1"/>
  <c r="V248" i="1" s="1"/>
  <c r="S272" i="1"/>
  <c r="T272" i="1" s="1"/>
  <c r="V272" i="1" s="1"/>
  <c r="S293" i="1"/>
  <c r="T293" i="1" s="1"/>
  <c r="V293" i="1" s="1"/>
  <c r="S294" i="1"/>
  <c r="T294" i="1" s="1"/>
  <c r="V294" i="1" s="1"/>
  <c r="S296" i="1"/>
  <c r="T296" i="1" s="1"/>
  <c r="V296" i="1" s="1"/>
  <c r="S298" i="1"/>
  <c r="T298" i="1" s="1"/>
  <c r="V298" i="1" s="1"/>
  <c r="S299" i="1"/>
  <c r="T299" i="1" s="1"/>
  <c r="V299" i="1" s="1"/>
  <c r="S323" i="1"/>
  <c r="T323" i="1" s="1"/>
  <c r="V323" i="1" s="1"/>
  <c r="S335" i="1"/>
  <c r="T335" i="1" s="1"/>
  <c r="V335" i="1" s="1"/>
  <c r="S336" i="1"/>
  <c r="T336" i="1" s="1"/>
  <c r="V336" i="1" s="1"/>
  <c r="S341" i="1"/>
  <c r="T341" i="1" s="1"/>
  <c r="V341" i="1" s="1"/>
  <c r="S366" i="1"/>
  <c r="T366" i="1" s="1"/>
  <c r="V366" i="1" s="1"/>
  <c r="S368" i="1"/>
  <c r="T368" i="1" s="1"/>
  <c r="V368" i="1" s="1"/>
  <c r="S369" i="1"/>
  <c r="T369" i="1" s="1"/>
  <c r="V369" i="1" s="1"/>
  <c r="S370" i="1"/>
  <c r="T370" i="1" s="1"/>
  <c r="V370" i="1" s="1"/>
  <c r="S371" i="1"/>
  <c r="T371" i="1" s="1"/>
  <c r="V371" i="1" s="1"/>
  <c r="S372" i="1"/>
  <c r="T372" i="1" s="1"/>
  <c r="V372" i="1" s="1"/>
  <c r="S392" i="1"/>
  <c r="T392" i="1" s="1"/>
  <c r="V392" i="1" s="1"/>
  <c r="S394" i="1"/>
  <c r="T394" i="1" s="1"/>
  <c r="V394" i="1" s="1"/>
  <c r="S395" i="1"/>
  <c r="T395" i="1" s="1"/>
  <c r="V395" i="1" s="1"/>
  <c r="S413" i="1"/>
  <c r="S416" i="1"/>
  <c r="T416" i="1" s="1"/>
  <c r="V416" i="1" s="1"/>
  <c r="S431" i="1"/>
  <c r="T431" i="1" s="1"/>
  <c r="V431" i="1" s="1"/>
  <c r="S432" i="1"/>
  <c r="T432" i="1" s="1"/>
  <c r="V432" i="1" s="1"/>
  <c r="S433" i="1"/>
  <c r="T433" i="1" s="1"/>
  <c r="V433" i="1" s="1"/>
  <c r="S437" i="1"/>
  <c r="T437" i="1" s="1"/>
  <c r="V437" i="1" s="1"/>
  <c r="S438" i="1"/>
  <c r="T438" i="1" s="1"/>
  <c r="V438" i="1" s="1"/>
  <c r="S461" i="1"/>
  <c r="T461" i="1" s="1"/>
  <c r="V461" i="1" s="1"/>
  <c r="S488" i="1"/>
  <c r="T488" i="1" s="1"/>
  <c r="V488" i="1" s="1"/>
  <c r="S490" i="1"/>
  <c r="T490" i="1" s="1"/>
  <c r="V490" i="1" s="1"/>
  <c r="S491" i="1"/>
  <c r="T491" i="1" s="1"/>
  <c r="V491" i="1" s="1"/>
  <c r="S509" i="1"/>
  <c r="T509" i="1" s="1"/>
  <c r="V509" i="1" s="1"/>
  <c r="S510" i="1"/>
  <c r="T510" i="1" s="1"/>
  <c r="V510" i="1" s="1"/>
  <c r="S2" i="1"/>
  <c r="T2" i="1" s="1"/>
  <c r="V2" i="1" s="1"/>
  <c r="Q21" i="1"/>
  <c r="S21" i="1" s="1"/>
  <c r="T21" i="1" s="1"/>
  <c r="V21" i="1" s="1"/>
  <c r="Q22" i="1"/>
  <c r="S22" i="1" s="1"/>
  <c r="T22" i="1" s="1"/>
  <c r="V22" i="1" s="1"/>
  <c r="Q23" i="1"/>
  <c r="S23" i="1" s="1"/>
  <c r="T23" i="1" s="1"/>
  <c r="V23" i="1" s="1"/>
  <c r="Q24" i="1"/>
  <c r="S24" i="1" s="1"/>
  <c r="T24" i="1" s="1"/>
  <c r="V24" i="1" s="1"/>
  <c r="Q25" i="1"/>
  <c r="S25" i="1" s="1"/>
  <c r="T25" i="1" s="1"/>
  <c r="V25" i="1" s="1"/>
  <c r="Q26" i="1"/>
  <c r="S26" i="1" s="1"/>
  <c r="T26" i="1" s="1"/>
  <c r="V26" i="1" s="1"/>
  <c r="Q27" i="1"/>
  <c r="S27" i="1" s="1"/>
  <c r="T27" i="1" s="1"/>
  <c r="V27" i="1" s="1"/>
  <c r="Q28" i="1"/>
  <c r="S28" i="1" s="1"/>
  <c r="T28" i="1" s="1"/>
  <c r="V28" i="1" s="1"/>
  <c r="Q29" i="1"/>
  <c r="S29" i="1" s="1"/>
  <c r="T29" i="1" s="1"/>
  <c r="V29" i="1" s="1"/>
  <c r="Q30" i="1"/>
  <c r="S30" i="1" s="1"/>
  <c r="T30" i="1" s="1"/>
  <c r="V30" i="1" s="1"/>
  <c r="Q31" i="1"/>
  <c r="S31" i="1" s="1"/>
  <c r="T31" i="1" s="1"/>
  <c r="V31" i="1" s="1"/>
  <c r="Q32" i="1"/>
  <c r="S32" i="1" s="1"/>
  <c r="Q33" i="1"/>
  <c r="S33" i="1" s="1"/>
  <c r="T33" i="1" s="1"/>
  <c r="V33" i="1" s="1"/>
  <c r="Q34" i="1"/>
  <c r="Q35" i="1"/>
  <c r="Q36" i="1"/>
  <c r="S36" i="1" s="1"/>
  <c r="T36" i="1" s="1"/>
  <c r="V36" i="1" s="1"/>
  <c r="Q37" i="1"/>
  <c r="S37" i="1" s="1"/>
  <c r="T37" i="1" s="1"/>
  <c r="V37" i="1" s="1"/>
  <c r="Q38" i="1"/>
  <c r="S38" i="1" s="1"/>
  <c r="T38" i="1" s="1"/>
  <c r="V38" i="1" s="1"/>
  <c r="Q39" i="1"/>
  <c r="S39" i="1" s="1"/>
  <c r="T39" i="1" s="1"/>
  <c r="V39" i="1" s="1"/>
  <c r="Q40" i="1"/>
  <c r="S40" i="1" s="1"/>
  <c r="T40" i="1" s="1"/>
  <c r="V40" i="1" s="1"/>
  <c r="Q41" i="1"/>
  <c r="S41" i="1" s="1"/>
  <c r="T41" i="1" s="1"/>
  <c r="V41" i="1" s="1"/>
  <c r="Q42" i="1"/>
  <c r="S42" i="1" s="1"/>
  <c r="T42" i="1" s="1"/>
  <c r="V42" i="1" s="1"/>
  <c r="Q43" i="1"/>
  <c r="S43" i="1" s="1"/>
  <c r="T43" i="1" s="1"/>
  <c r="V43" i="1" s="1"/>
  <c r="Q44" i="1"/>
  <c r="S44" i="1" s="1"/>
  <c r="T44" i="1" s="1"/>
  <c r="V44" i="1" s="1"/>
  <c r="Q45" i="1"/>
  <c r="S45" i="1" s="1"/>
  <c r="T45" i="1" s="1"/>
  <c r="V45" i="1" s="1"/>
  <c r="Q46" i="1"/>
  <c r="S46" i="1" s="1"/>
  <c r="T46" i="1" s="1"/>
  <c r="V46" i="1" s="1"/>
  <c r="Q47" i="1"/>
  <c r="S47" i="1" s="1"/>
  <c r="T47" i="1" s="1"/>
  <c r="V47" i="1" s="1"/>
  <c r="Q48" i="1"/>
  <c r="S48" i="1" s="1"/>
  <c r="T48" i="1" s="1"/>
  <c r="V48" i="1" s="1"/>
  <c r="Q49" i="1"/>
  <c r="S49" i="1" s="1"/>
  <c r="T49" i="1" s="1"/>
  <c r="V49" i="1" s="1"/>
  <c r="Q50" i="1"/>
  <c r="S50" i="1" s="1"/>
  <c r="T50" i="1" s="1"/>
  <c r="V50" i="1" s="1"/>
  <c r="Q51" i="1"/>
  <c r="S51" i="1" s="1"/>
  <c r="T51" i="1" s="1"/>
  <c r="V51" i="1" s="1"/>
  <c r="Q52" i="1"/>
  <c r="S52" i="1" s="1"/>
  <c r="T52" i="1" s="1"/>
  <c r="V52" i="1" s="1"/>
  <c r="Q53" i="1"/>
  <c r="S53" i="1" s="1"/>
  <c r="T53" i="1" s="1"/>
  <c r="V53" i="1" s="1"/>
  <c r="Q54" i="1"/>
  <c r="S54" i="1" s="1"/>
  <c r="T54" i="1" s="1"/>
  <c r="V54" i="1" s="1"/>
  <c r="Q55" i="1"/>
  <c r="S55" i="1" s="1"/>
  <c r="T55" i="1" s="1"/>
  <c r="V55" i="1" s="1"/>
  <c r="Q56" i="1"/>
  <c r="S56" i="1" s="1"/>
  <c r="T56" i="1" s="1"/>
  <c r="V56" i="1" s="1"/>
  <c r="Q57" i="1"/>
  <c r="S57" i="1" s="1"/>
  <c r="T57" i="1" s="1"/>
  <c r="V57" i="1" s="1"/>
  <c r="Q58" i="1"/>
  <c r="Q59" i="1"/>
  <c r="S59" i="1" s="1"/>
  <c r="T59" i="1" s="1"/>
  <c r="V59" i="1" s="1"/>
  <c r="Q60" i="1"/>
  <c r="S60" i="1" s="1"/>
  <c r="T60" i="1" s="1"/>
  <c r="V60" i="1" s="1"/>
  <c r="Q61" i="1"/>
  <c r="S61" i="1" s="1"/>
  <c r="T61" i="1" s="1"/>
  <c r="V61" i="1" s="1"/>
  <c r="Q62" i="1"/>
  <c r="S62" i="1" s="1"/>
  <c r="T62" i="1" s="1"/>
  <c r="V62" i="1" s="1"/>
  <c r="Q63" i="1"/>
  <c r="S63" i="1" s="1"/>
  <c r="T63" i="1" s="1"/>
  <c r="V63" i="1" s="1"/>
  <c r="Q64" i="1"/>
  <c r="S64" i="1" s="1"/>
  <c r="T64" i="1" s="1"/>
  <c r="V64" i="1" s="1"/>
  <c r="Q65" i="1"/>
  <c r="S65" i="1" s="1"/>
  <c r="T65" i="1" s="1"/>
  <c r="V65" i="1" s="1"/>
  <c r="Q66" i="1"/>
  <c r="S66" i="1" s="1"/>
  <c r="T66" i="1" s="1"/>
  <c r="V66" i="1" s="1"/>
  <c r="Q67" i="1"/>
  <c r="S67" i="1" s="1"/>
  <c r="T67" i="1" s="1"/>
  <c r="V67" i="1" s="1"/>
  <c r="Q68" i="1"/>
  <c r="S68" i="1" s="1"/>
  <c r="T68" i="1" s="1"/>
  <c r="V68" i="1" s="1"/>
  <c r="Q69" i="1"/>
  <c r="S69" i="1" s="1"/>
  <c r="T69" i="1" s="1"/>
  <c r="V69" i="1" s="1"/>
  <c r="Q70" i="1"/>
  <c r="S70" i="1" s="1"/>
  <c r="T70" i="1" s="1"/>
  <c r="V70" i="1" s="1"/>
  <c r="Q71" i="1"/>
  <c r="S71" i="1" s="1"/>
  <c r="T71" i="1" s="1"/>
  <c r="V71" i="1" s="1"/>
  <c r="Q72" i="1"/>
  <c r="S72" i="1" s="1"/>
  <c r="T72" i="1" s="1"/>
  <c r="V72" i="1" s="1"/>
  <c r="Q73" i="1"/>
  <c r="S73" i="1" s="1"/>
  <c r="T73" i="1" s="1"/>
  <c r="V73" i="1" s="1"/>
  <c r="Q74" i="1"/>
  <c r="S74" i="1" s="1"/>
  <c r="T74" i="1" s="1"/>
  <c r="V74" i="1" s="1"/>
  <c r="Q75" i="1"/>
  <c r="S75" i="1" s="1"/>
  <c r="T75" i="1" s="1"/>
  <c r="V75" i="1" s="1"/>
  <c r="Q76" i="1"/>
  <c r="S76" i="1" s="1"/>
  <c r="T76" i="1" s="1"/>
  <c r="V76" i="1" s="1"/>
  <c r="Q77" i="1"/>
  <c r="Q78" i="1"/>
  <c r="Q79" i="1"/>
  <c r="S79" i="1" s="1"/>
  <c r="T79" i="1" s="1"/>
  <c r="V79" i="1" s="1"/>
  <c r="Q80" i="1"/>
  <c r="S80" i="1" s="1"/>
  <c r="Q81" i="1"/>
  <c r="S81" i="1" s="1"/>
  <c r="T81" i="1" s="1"/>
  <c r="V81" i="1" s="1"/>
  <c r="Q82" i="1"/>
  <c r="S82" i="1" s="1"/>
  <c r="T82" i="1" s="1"/>
  <c r="V82" i="1" s="1"/>
  <c r="Q83" i="1"/>
  <c r="S83" i="1" s="1"/>
  <c r="T83" i="1" s="1"/>
  <c r="V83" i="1" s="1"/>
  <c r="Q84" i="1"/>
  <c r="S84" i="1" s="1"/>
  <c r="T84" i="1" s="1"/>
  <c r="V84" i="1" s="1"/>
  <c r="Q85" i="1"/>
  <c r="S85" i="1" s="1"/>
  <c r="T85" i="1" s="1"/>
  <c r="V85" i="1" s="1"/>
  <c r="Q86" i="1"/>
  <c r="S86" i="1" s="1"/>
  <c r="T86" i="1" s="1"/>
  <c r="V86" i="1" s="1"/>
  <c r="Q87" i="1"/>
  <c r="S87" i="1" s="1"/>
  <c r="T87" i="1" s="1"/>
  <c r="V87" i="1" s="1"/>
  <c r="Q88" i="1"/>
  <c r="S88" i="1" s="1"/>
  <c r="T88" i="1" s="1"/>
  <c r="V88" i="1" s="1"/>
  <c r="Q89" i="1"/>
  <c r="S89" i="1" s="1"/>
  <c r="T89" i="1" s="1"/>
  <c r="V89" i="1" s="1"/>
  <c r="Q90" i="1"/>
  <c r="S90" i="1" s="1"/>
  <c r="T90" i="1" s="1"/>
  <c r="V90" i="1" s="1"/>
  <c r="Q91" i="1"/>
  <c r="S91" i="1" s="1"/>
  <c r="T91" i="1" s="1"/>
  <c r="V91" i="1" s="1"/>
  <c r="Q92" i="1"/>
  <c r="S92" i="1" s="1"/>
  <c r="T92" i="1" s="1"/>
  <c r="V92" i="1" s="1"/>
  <c r="Q93" i="1"/>
  <c r="S93" i="1" s="1"/>
  <c r="T93" i="1" s="1"/>
  <c r="V93" i="1" s="1"/>
  <c r="Q94" i="1"/>
  <c r="S94" i="1" s="1"/>
  <c r="T94" i="1" s="1"/>
  <c r="V94" i="1" s="1"/>
  <c r="Q95" i="1"/>
  <c r="S95" i="1" s="1"/>
  <c r="T95" i="1" s="1"/>
  <c r="V95" i="1" s="1"/>
  <c r="Q96" i="1"/>
  <c r="S96" i="1" s="1"/>
  <c r="T96" i="1" s="1"/>
  <c r="V96" i="1" s="1"/>
  <c r="Q97" i="1"/>
  <c r="S97" i="1" s="1"/>
  <c r="T97" i="1" s="1"/>
  <c r="V97" i="1" s="1"/>
  <c r="Q98" i="1"/>
  <c r="S98" i="1" s="1"/>
  <c r="T98" i="1" s="1"/>
  <c r="V98" i="1" s="1"/>
  <c r="Q99" i="1"/>
  <c r="S99" i="1" s="1"/>
  <c r="T99" i="1" s="1"/>
  <c r="V99" i="1" s="1"/>
  <c r="Q100" i="1"/>
  <c r="S100" i="1" s="1"/>
  <c r="T100" i="1" s="1"/>
  <c r="V100" i="1" s="1"/>
  <c r="Q101" i="1"/>
  <c r="Q102" i="1"/>
  <c r="S102" i="1" s="1"/>
  <c r="T102" i="1" s="1"/>
  <c r="V102" i="1" s="1"/>
  <c r="Q103" i="1"/>
  <c r="S103" i="1" s="1"/>
  <c r="T103" i="1" s="1"/>
  <c r="V103" i="1" s="1"/>
  <c r="Q104" i="1"/>
  <c r="S104" i="1" s="1"/>
  <c r="Q105" i="1"/>
  <c r="S105" i="1" s="1"/>
  <c r="T105" i="1" s="1"/>
  <c r="V105" i="1" s="1"/>
  <c r="Q106" i="1"/>
  <c r="S106" i="1" s="1"/>
  <c r="T106" i="1" s="1"/>
  <c r="V106" i="1" s="1"/>
  <c r="Q107" i="1"/>
  <c r="S107" i="1" s="1"/>
  <c r="T107" i="1" s="1"/>
  <c r="V107" i="1" s="1"/>
  <c r="Q108" i="1"/>
  <c r="S108" i="1" s="1"/>
  <c r="T108" i="1" s="1"/>
  <c r="V108" i="1" s="1"/>
  <c r="Q109" i="1"/>
  <c r="S109" i="1" s="1"/>
  <c r="T109" i="1" s="1"/>
  <c r="V109" i="1" s="1"/>
  <c r="Q110" i="1"/>
  <c r="S110" i="1" s="1"/>
  <c r="T110" i="1" s="1"/>
  <c r="V110" i="1" s="1"/>
  <c r="Q111" i="1"/>
  <c r="S111" i="1" s="1"/>
  <c r="T111" i="1" s="1"/>
  <c r="V111" i="1" s="1"/>
  <c r="Q112" i="1"/>
  <c r="S112" i="1" s="1"/>
  <c r="T112" i="1" s="1"/>
  <c r="V112" i="1" s="1"/>
  <c r="Q113" i="1"/>
  <c r="S113" i="1" s="1"/>
  <c r="T113" i="1" s="1"/>
  <c r="V113" i="1" s="1"/>
  <c r="Q114" i="1"/>
  <c r="S114" i="1" s="1"/>
  <c r="T114" i="1" s="1"/>
  <c r="V114" i="1" s="1"/>
  <c r="Q115" i="1"/>
  <c r="S115" i="1" s="1"/>
  <c r="T115" i="1" s="1"/>
  <c r="V115" i="1" s="1"/>
  <c r="Q116" i="1"/>
  <c r="S116" i="1" s="1"/>
  <c r="T116" i="1" s="1"/>
  <c r="V116" i="1" s="1"/>
  <c r="Q117" i="1"/>
  <c r="S117" i="1" s="1"/>
  <c r="T117" i="1" s="1"/>
  <c r="V117" i="1" s="1"/>
  <c r="Q118" i="1"/>
  <c r="S118" i="1" s="1"/>
  <c r="T118" i="1" s="1"/>
  <c r="V118" i="1" s="1"/>
  <c r="Q119" i="1"/>
  <c r="S119" i="1" s="1"/>
  <c r="T119" i="1" s="1"/>
  <c r="V119" i="1" s="1"/>
  <c r="Q120" i="1"/>
  <c r="S120" i="1" s="1"/>
  <c r="T120" i="1" s="1"/>
  <c r="V120" i="1" s="1"/>
  <c r="Q121" i="1"/>
  <c r="S121" i="1" s="1"/>
  <c r="T121" i="1" s="1"/>
  <c r="V121" i="1" s="1"/>
  <c r="Q122" i="1"/>
  <c r="S122" i="1" s="1"/>
  <c r="T122" i="1" s="1"/>
  <c r="V122" i="1" s="1"/>
  <c r="Q123" i="1"/>
  <c r="S123" i="1" s="1"/>
  <c r="Q124" i="1"/>
  <c r="S124" i="1" s="1"/>
  <c r="Q125" i="1"/>
  <c r="Q126" i="1"/>
  <c r="Q127" i="1"/>
  <c r="S127" i="1" s="1"/>
  <c r="Q128" i="1"/>
  <c r="S128" i="1" s="1"/>
  <c r="T128" i="1" s="1"/>
  <c r="V128" i="1" s="1"/>
  <c r="Q129" i="1"/>
  <c r="S129" i="1" s="1"/>
  <c r="T129" i="1" s="1"/>
  <c r="V129" i="1" s="1"/>
  <c r="Q130" i="1"/>
  <c r="Q131" i="1"/>
  <c r="S131" i="1" s="1"/>
  <c r="T131" i="1" s="1"/>
  <c r="V131" i="1" s="1"/>
  <c r="Q132" i="1"/>
  <c r="S132" i="1" s="1"/>
  <c r="T132" i="1" s="1"/>
  <c r="V132" i="1" s="1"/>
  <c r="Q133" i="1"/>
  <c r="S133" i="1" s="1"/>
  <c r="T133" i="1" s="1"/>
  <c r="V133" i="1" s="1"/>
  <c r="Q134" i="1"/>
  <c r="S134" i="1" s="1"/>
  <c r="T134" i="1" s="1"/>
  <c r="V134" i="1" s="1"/>
  <c r="Q135" i="1"/>
  <c r="S135" i="1" s="1"/>
  <c r="T135" i="1" s="1"/>
  <c r="V135" i="1" s="1"/>
  <c r="Q136" i="1"/>
  <c r="S136" i="1" s="1"/>
  <c r="T136" i="1" s="1"/>
  <c r="V136" i="1" s="1"/>
  <c r="Q137" i="1"/>
  <c r="S137" i="1" s="1"/>
  <c r="T137" i="1" s="1"/>
  <c r="V137" i="1" s="1"/>
  <c r="Q138" i="1"/>
  <c r="S138" i="1" s="1"/>
  <c r="T138" i="1" s="1"/>
  <c r="V138" i="1" s="1"/>
  <c r="Q139" i="1"/>
  <c r="S139" i="1" s="1"/>
  <c r="T139" i="1" s="1"/>
  <c r="V139" i="1" s="1"/>
  <c r="Q140" i="1"/>
  <c r="S140" i="1" s="1"/>
  <c r="T140" i="1" s="1"/>
  <c r="V140" i="1" s="1"/>
  <c r="Q141" i="1"/>
  <c r="S141" i="1" s="1"/>
  <c r="T141" i="1" s="1"/>
  <c r="V141" i="1" s="1"/>
  <c r="Q142" i="1"/>
  <c r="S142" i="1" s="1"/>
  <c r="T142" i="1" s="1"/>
  <c r="V142" i="1" s="1"/>
  <c r="Q143" i="1"/>
  <c r="S143" i="1" s="1"/>
  <c r="T143" i="1" s="1"/>
  <c r="V143" i="1" s="1"/>
  <c r="Q144" i="1"/>
  <c r="S144" i="1" s="1"/>
  <c r="T144" i="1" s="1"/>
  <c r="V144" i="1" s="1"/>
  <c r="Q145" i="1"/>
  <c r="S145" i="1" s="1"/>
  <c r="T145" i="1" s="1"/>
  <c r="V145" i="1" s="1"/>
  <c r="Q146" i="1"/>
  <c r="S146" i="1" s="1"/>
  <c r="T146" i="1" s="1"/>
  <c r="V146" i="1" s="1"/>
  <c r="Q147" i="1"/>
  <c r="S147" i="1" s="1"/>
  <c r="Q148" i="1"/>
  <c r="S148" i="1" s="1"/>
  <c r="T148" i="1" s="1"/>
  <c r="V148" i="1" s="1"/>
  <c r="Q149" i="1"/>
  <c r="Q150" i="1"/>
  <c r="S150" i="1" s="1"/>
  <c r="T150" i="1" s="1"/>
  <c r="V150" i="1" s="1"/>
  <c r="Q151" i="1"/>
  <c r="S151" i="1" s="1"/>
  <c r="T151" i="1" s="1"/>
  <c r="V151" i="1" s="1"/>
  <c r="Q152" i="1"/>
  <c r="S152" i="1" s="1"/>
  <c r="T152" i="1" s="1"/>
  <c r="V152" i="1" s="1"/>
  <c r="Q153" i="1"/>
  <c r="S153" i="1" s="1"/>
  <c r="T153" i="1" s="1"/>
  <c r="V153" i="1" s="1"/>
  <c r="Q154" i="1"/>
  <c r="S154" i="1" s="1"/>
  <c r="T154" i="1" s="1"/>
  <c r="V154" i="1" s="1"/>
  <c r="Q155" i="1"/>
  <c r="S155" i="1" s="1"/>
  <c r="T155" i="1" s="1"/>
  <c r="V155" i="1" s="1"/>
  <c r="Q156" i="1"/>
  <c r="S156" i="1" s="1"/>
  <c r="T156" i="1" s="1"/>
  <c r="V156" i="1" s="1"/>
  <c r="Q157" i="1"/>
  <c r="S157" i="1" s="1"/>
  <c r="T157" i="1" s="1"/>
  <c r="V157" i="1" s="1"/>
  <c r="Q158" i="1"/>
  <c r="S158" i="1" s="1"/>
  <c r="T158" i="1" s="1"/>
  <c r="V158" i="1" s="1"/>
  <c r="Q159" i="1"/>
  <c r="S159" i="1" s="1"/>
  <c r="T159" i="1" s="1"/>
  <c r="V159" i="1" s="1"/>
  <c r="Q160" i="1"/>
  <c r="S160" i="1" s="1"/>
  <c r="T160" i="1" s="1"/>
  <c r="V160" i="1" s="1"/>
  <c r="Q161" i="1"/>
  <c r="S161" i="1" s="1"/>
  <c r="T161" i="1" s="1"/>
  <c r="V161" i="1" s="1"/>
  <c r="Q162" i="1"/>
  <c r="S162" i="1" s="1"/>
  <c r="T162" i="1" s="1"/>
  <c r="V162" i="1" s="1"/>
  <c r="Q163" i="1"/>
  <c r="S163" i="1" s="1"/>
  <c r="T163" i="1" s="1"/>
  <c r="V163" i="1" s="1"/>
  <c r="Q164" i="1"/>
  <c r="S164" i="1" s="1"/>
  <c r="T164" i="1" s="1"/>
  <c r="V164" i="1" s="1"/>
  <c r="Q165" i="1"/>
  <c r="S165" i="1" s="1"/>
  <c r="T165" i="1" s="1"/>
  <c r="V165" i="1" s="1"/>
  <c r="Q166" i="1"/>
  <c r="S166" i="1" s="1"/>
  <c r="T166" i="1" s="1"/>
  <c r="V166" i="1" s="1"/>
  <c r="Q167" i="1"/>
  <c r="S167" i="1" s="1"/>
  <c r="T167" i="1" s="1"/>
  <c r="V167" i="1" s="1"/>
  <c r="Q168" i="1"/>
  <c r="S168" i="1" s="1"/>
  <c r="T168" i="1" s="1"/>
  <c r="V168" i="1" s="1"/>
  <c r="Q169" i="1"/>
  <c r="S169" i="1" s="1"/>
  <c r="T169" i="1" s="1"/>
  <c r="V169" i="1" s="1"/>
  <c r="Q170" i="1"/>
  <c r="S170" i="1" s="1"/>
  <c r="T170" i="1" s="1"/>
  <c r="V170" i="1" s="1"/>
  <c r="Q171" i="1"/>
  <c r="S171" i="1" s="1"/>
  <c r="T171" i="1" s="1"/>
  <c r="V171" i="1" s="1"/>
  <c r="Q172" i="1"/>
  <c r="S172" i="1" s="1"/>
  <c r="T172" i="1" s="1"/>
  <c r="V172" i="1" s="1"/>
  <c r="Q173" i="1"/>
  <c r="S173" i="1" s="1"/>
  <c r="T173" i="1" s="1"/>
  <c r="V173" i="1" s="1"/>
  <c r="Q174" i="1"/>
  <c r="S174" i="1" s="1"/>
  <c r="T174" i="1" s="1"/>
  <c r="V174" i="1" s="1"/>
  <c r="Q175" i="1"/>
  <c r="S175" i="1" s="1"/>
  <c r="T175" i="1" s="1"/>
  <c r="V175" i="1" s="1"/>
  <c r="Q176" i="1"/>
  <c r="S176" i="1" s="1"/>
  <c r="T176" i="1" s="1"/>
  <c r="V176" i="1" s="1"/>
  <c r="Q177" i="1"/>
  <c r="Q178" i="1"/>
  <c r="Q179" i="1"/>
  <c r="Q180" i="1"/>
  <c r="S180" i="1" s="1"/>
  <c r="T180" i="1" s="1"/>
  <c r="V180" i="1" s="1"/>
  <c r="Q181" i="1"/>
  <c r="S181" i="1" s="1"/>
  <c r="T181" i="1" s="1"/>
  <c r="V181" i="1" s="1"/>
  <c r="Q182" i="1"/>
  <c r="S182" i="1" s="1"/>
  <c r="T182" i="1" s="1"/>
  <c r="V182" i="1" s="1"/>
  <c r="Q183" i="1"/>
  <c r="S183" i="1" s="1"/>
  <c r="T183" i="1" s="1"/>
  <c r="V183" i="1" s="1"/>
  <c r="Q184" i="1"/>
  <c r="S184" i="1" s="1"/>
  <c r="T184" i="1" s="1"/>
  <c r="V184" i="1" s="1"/>
  <c r="Q185" i="1"/>
  <c r="S185" i="1" s="1"/>
  <c r="T185" i="1" s="1"/>
  <c r="V185" i="1" s="1"/>
  <c r="Q186" i="1"/>
  <c r="S186" i="1" s="1"/>
  <c r="T186" i="1" s="1"/>
  <c r="V186" i="1" s="1"/>
  <c r="Q187" i="1"/>
  <c r="S187" i="1" s="1"/>
  <c r="T187" i="1" s="1"/>
  <c r="V187" i="1" s="1"/>
  <c r="Q188" i="1"/>
  <c r="S188" i="1" s="1"/>
  <c r="T188" i="1" s="1"/>
  <c r="V188" i="1" s="1"/>
  <c r="Q189" i="1"/>
  <c r="S189" i="1" s="1"/>
  <c r="T189" i="1" s="1"/>
  <c r="V189" i="1" s="1"/>
  <c r="Q190" i="1"/>
  <c r="S190" i="1" s="1"/>
  <c r="T190" i="1" s="1"/>
  <c r="V190" i="1" s="1"/>
  <c r="Q191" i="1"/>
  <c r="S191" i="1" s="1"/>
  <c r="T191" i="1" s="1"/>
  <c r="V191" i="1" s="1"/>
  <c r="Q192" i="1"/>
  <c r="S192" i="1" s="1"/>
  <c r="T192" i="1" s="1"/>
  <c r="V192" i="1" s="1"/>
  <c r="Q193" i="1"/>
  <c r="S193" i="1" s="1"/>
  <c r="T193" i="1" s="1"/>
  <c r="V193" i="1" s="1"/>
  <c r="Q194" i="1"/>
  <c r="S194" i="1" s="1"/>
  <c r="T194" i="1" s="1"/>
  <c r="V194" i="1" s="1"/>
  <c r="Q195" i="1"/>
  <c r="S195" i="1" s="1"/>
  <c r="T195" i="1" s="1"/>
  <c r="V195" i="1" s="1"/>
  <c r="Q196" i="1"/>
  <c r="S196" i="1" s="1"/>
  <c r="T196" i="1" s="1"/>
  <c r="V196" i="1" s="1"/>
  <c r="Q197" i="1"/>
  <c r="S197" i="1" s="1"/>
  <c r="T197" i="1" s="1"/>
  <c r="V197" i="1" s="1"/>
  <c r="Q198" i="1"/>
  <c r="S198" i="1" s="1"/>
  <c r="T198" i="1" s="1"/>
  <c r="V198" i="1" s="1"/>
  <c r="Q199" i="1"/>
  <c r="S199" i="1" s="1"/>
  <c r="T199" i="1" s="1"/>
  <c r="V199" i="1" s="1"/>
  <c r="Q200" i="1"/>
  <c r="S200" i="1" s="1"/>
  <c r="Q201" i="1"/>
  <c r="S201" i="1" s="1"/>
  <c r="T201" i="1" s="1"/>
  <c r="V201" i="1" s="1"/>
  <c r="Q202" i="1"/>
  <c r="Q203" i="1"/>
  <c r="S203" i="1" s="1"/>
  <c r="T203" i="1" s="1"/>
  <c r="V203" i="1" s="1"/>
  <c r="Q204" i="1"/>
  <c r="S204" i="1" s="1"/>
  <c r="T204" i="1" s="1"/>
  <c r="V204" i="1" s="1"/>
  <c r="Q205" i="1"/>
  <c r="S205" i="1" s="1"/>
  <c r="T205" i="1" s="1"/>
  <c r="V205" i="1" s="1"/>
  <c r="Q206" i="1"/>
  <c r="S206" i="1" s="1"/>
  <c r="T206" i="1" s="1"/>
  <c r="V206" i="1" s="1"/>
  <c r="Q207" i="1"/>
  <c r="S207" i="1" s="1"/>
  <c r="T207" i="1" s="1"/>
  <c r="V207" i="1" s="1"/>
  <c r="Q208" i="1"/>
  <c r="S208" i="1" s="1"/>
  <c r="T208" i="1" s="1"/>
  <c r="V208" i="1" s="1"/>
  <c r="Q209" i="1"/>
  <c r="S209" i="1" s="1"/>
  <c r="T209" i="1" s="1"/>
  <c r="V209" i="1" s="1"/>
  <c r="Q210" i="1"/>
  <c r="S210" i="1" s="1"/>
  <c r="T210" i="1" s="1"/>
  <c r="V210" i="1" s="1"/>
  <c r="Q211" i="1"/>
  <c r="S211" i="1" s="1"/>
  <c r="T211" i="1" s="1"/>
  <c r="V211" i="1" s="1"/>
  <c r="Q212" i="1"/>
  <c r="S212" i="1" s="1"/>
  <c r="T212" i="1" s="1"/>
  <c r="V212" i="1" s="1"/>
  <c r="Q213" i="1"/>
  <c r="S213" i="1" s="1"/>
  <c r="T213" i="1" s="1"/>
  <c r="V213" i="1" s="1"/>
  <c r="Q214" i="1"/>
  <c r="S214" i="1" s="1"/>
  <c r="T214" i="1" s="1"/>
  <c r="V214" i="1" s="1"/>
  <c r="Q215" i="1"/>
  <c r="S215" i="1" s="1"/>
  <c r="T215" i="1" s="1"/>
  <c r="V215" i="1" s="1"/>
  <c r="Q216" i="1"/>
  <c r="S216" i="1" s="1"/>
  <c r="T216" i="1" s="1"/>
  <c r="V216" i="1" s="1"/>
  <c r="Q217" i="1"/>
  <c r="S217" i="1" s="1"/>
  <c r="T217" i="1" s="1"/>
  <c r="V217" i="1" s="1"/>
  <c r="Q218" i="1"/>
  <c r="S218" i="1" s="1"/>
  <c r="T218" i="1" s="1"/>
  <c r="V218" i="1" s="1"/>
  <c r="Q219" i="1"/>
  <c r="S219" i="1" s="1"/>
  <c r="T219" i="1" s="1"/>
  <c r="V219" i="1" s="1"/>
  <c r="Q220" i="1"/>
  <c r="S220" i="1" s="1"/>
  <c r="T220" i="1" s="1"/>
  <c r="V220" i="1" s="1"/>
  <c r="Q221" i="1"/>
  <c r="S221" i="1" s="1"/>
  <c r="T221" i="1" s="1"/>
  <c r="V221" i="1" s="1"/>
  <c r="Q222" i="1"/>
  <c r="S222" i="1" s="1"/>
  <c r="T222" i="1" s="1"/>
  <c r="V222" i="1" s="1"/>
  <c r="Q223" i="1"/>
  <c r="S223" i="1" s="1"/>
  <c r="Q224" i="1"/>
  <c r="S224" i="1" s="1"/>
  <c r="Q225" i="1"/>
  <c r="S225" i="1" s="1"/>
  <c r="T225" i="1" s="1"/>
  <c r="V225" i="1" s="1"/>
  <c r="Q226" i="1"/>
  <c r="S226" i="1" s="1"/>
  <c r="T226" i="1" s="1"/>
  <c r="V226" i="1" s="1"/>
  <c r="Q227" i="1"/>
  <c r="S227" i="1" s="1"/>
  <c r="T227" i="1" s="1"/>
  <c r="V227" i="1" s="1"/>
  <c r="Q228" i="1"/>
  <c r="S228" i="1" s="1"/>
  <c r="T228" i="1" s="1"/>
  <c r="V228" i="1" s="1"/>
  <c r="Q229" i="1"/>
  <c r="S229" i="1" s="1"/>
  <c r="T229" i="1" s="1"/>
  <c r="V229" i="1" s="1"/>
  <c r="Q230" i="1"/>
  <c r="S230" i="1" s="1"/>
  <c r="T230" i="1" s="1"/>
  <c r="V230" i="1" s="1"/>
  <c r="Q231" i="1"/>
  <c r="S231" i="1" s="1"/>
  <c r="T231" i="1" s="1"/>
  <c r="V231" i="1" s="1"/>
  <c r="Q232" i="1"/>
  <c r="S232" i="1" s="1"/>
  <c r="T232" i="1" s="1"/>
  <c r="V232" i="1" s="1"/>
  <c r="Q233" i="1"/>
  <c r="S233" i="1" s="1"/>
  <c r="T233" i="1" s="1"/>
  <c r="V233" i="1" s="1"/>
  <c r="Q234" i="1"/>
  <c r="S234" i="1" s="1"/>
  <c r="T234" i="1" s="1"/>
  <c r="V234" i="1" s="1"/>
  <c r="Q235" i="1"/>
  <c r="S235" i="1" s="1"/>
  <c r="T235" i="1" s="1"/>
  <c r="V235" i="1" s="1"/>
  <c r="Q236" i="1"/>
  <c r="S236" i="1" s="1"/>
  <c r="T236" i="1" s="1"/>
  <c r="V236" i="1" s="1"/>
  <c r="Q237" i="1"/>
  <c r="S237" i="1" s="1"/>
  <c r="T237" i="1" s="1"/>
  <c r="V237" i="1" s="1"/>
  <c r="Q238" i="1"/>
  <c r="S238" i="1" s="1"/>
  <c r="T238" i="1" s="1"/>
  <c r="V238" i="1" s="1"/>
  <c r="Q239" i="1"/>
  <c r="S239" i="1" s="1"/>
  <c r="T239" i="1" s="1"/>
  <c r="V239" i="1" s="1"/>
  <c r="Q240" i="1"/>
  <c r="S240" i="1" s="1"/>
  <c r="T240" i="1" s="1"/>
  <c r="V240" i="1" s="1"/>
  <c r="Q241" i="1"/>
  <c r="S241" i="1" s="1"/>
  <c r="T241" i="1" s="1"/>
  <c r="V241" i="1" s="1"/>
  <c r="Q242" i="1"/>
  <c r="S242" i="1" s="1"/>
  <c r="T242" i="1" s="1"/>
  <c r="V242" i="1" s="1"/>
  <c r="Q243" i="1"/>
  <c r="S243" i="1" s="1"/>
  <c r="T243" i="1" s="1"/>
  <c r="V243" i="1" s="1"/>
  <c r="Q244" i="1"/>
  <c r="S244" i="1" s="1"/>
  <c r="T244" i="1" s="1"/>
  <c r="V244" i="1" s="1"/>
  <c r="Q245" i="1"/>
  <c r="S245" i="1" s="1"/>
  <c r="T245" i="1" s="1"/>
  <c r="V245" i="1" s="1"/>
  <c r="Q246" i="1"/>
  <c r="S246" i="1" s="1"/>
  <c r="T246" i="1" s="1"/>
  <c r="V246" i="1" s="1"/>
  <c r="Q247" i="1"/>
  <c r="S247" i="1" s="1"/>
  <c r="T247" i="1" s="1"/>
  <c r="V247" i="1" s="1"/>
  <c r="Q248" i="1"/>
  <c r="Q249" i="1"/>
  <c r="S249" i="1" s="1"/>
  <c r="T249" i="1" s="1"/>
  <c r="V249" i="1" s="1"/>
  <c r="Q250" i="1"/>
  <c r="S250" i="1" s="1"/>
  <c r="Q251" i="1"/>
  <c r="S251" i="1" s="1"/>
  <c r="Q252" i="1"/>
  <c r="S252" i="1" s="1"/>
  <c r="T252" i="1" s="1"/>
  <c r="V252" i="1" s="1"/>
  <c r="Q253" i="1"/>
  <c r="S253" i="1" s="1"/>
  <c r="T253" i="1" s="1"/>
  <c r="V253" i="1" s="1"/>
  <c r="Q254" i="1"/>
  <c r="S254" i="1" s="1"/>
  <c r="T254" i="1" s="1"/>
  <c r="V254" i="1" s="1"/>
  <c r="Q255" i="1"/>
  <c r="S255" i="1" s="1"/>
  <c r="T255" i="1" s="1"/>
  <c r="V255" i="1" s="1"/>
  <c r="Q256" i="1"/>
  <c r="S256" i="1" s="1"/>
  <c r="T256" i="1" s="1"/>
  <c r="V256" i="1" s="1"/>
  <c r="Q257" i="1"/>
  <c r="S257" i="1" s="1"/>
  <c r="T257" i="1" s="1"/>
  <c r="V257" i="1" s="1"/>
  <c r="Q258" i="1"/>
  <c r="S258" i="1" s="1"/>
  <c r="T258" i="1" s="1"/>
  <c r="V258" i="1" s="1"/>
  <c r="Q259" i="1"/>
  <c r="S259" i="1" s="1"/>
  <c r="T259" i="1" s="1"/>
  <c r="V259" i="1" s="1"/>
  <c r="Q260" i="1"/>
  <c r="S260" i="1" s="1"/>
  <c r="T260" i="1" s="1"/>
  <c r="V260" i="1" s="1"/>
  <c r="Q261" i="1"/>
  <c r="S261" i="1" s="1"/>
  <c r="T261" i="1" s="1"/>
  <c r="V261" i="1" s="1"/>
  <c r="Q262" i="1"/>
  <c r="S262" i="1" s="1"/>
  <c r="T262" i="1" s="1"/>
  <c r="V262" i="1" s="1"/>
  <c r="Q263" i="1"/>
  <c r="S263" i="1" s="1"/>
  <c r="T263" i="1" s="1"/>
  <c r="V263" i="1" s="1"/>
  <c r="Q264" i="1"/>
  <c r="S264" i="1" s="1"/>
  <c r="T264" i="1" s="1"/>
  <c r="V264" i="1" s="1"/>
  <c r="Q265" i="1"/>
  <c r="S265" i="1" s="1"/>
  <c r="T265" i="1" s="1"/>
  <c r="V265" i="1" s="1"/>
  <c r="Q266" i="1"/>
  <c r="S266" i="1" s="1"/>
  <c r="T266" i="1" s="1"/>
  <c r="V266" i="1" s="1"/>
  <c r="Q267" i="1"/>
  <c r="S267" i="1" s="1"/>
  <c r="T267" i="1" s="1"/>
  <c r="V267" i="1" s="1"/>
  <c r="Q268" i="1"/>
  <c r="S268" i="1" s="1"/>
  <c r="T268" i="1" s="1"/>
  <c r="V268" i="1" s="1"/>
  <c r="Q269" i="1"/>
  <c r="S269" i="1" s="1"/>
  <c r="T269" i="1" s="1"/>
  <c r="V269" i="1" s="1"/>
  <c r="Q270" i="1"/>
  <c r="S270" i="1" s="1"/>
  <c r="T270" i="1" s="1"/>
  <c r="V270" i="1" s="1"/>
  <c r="Q271" i="1"/>
  <c r="S271" i="1" s="1"/>
  <c r="T271" i="1" s="1"/>
  <c r="V271" i="1" s="1"/>
  <c r="Q272" i="1"/>
  <c r="Q273" i="1"/>
  <c r="S273" i="1" s="1"/>
  <c r="T273" i="1" s="1"/>
  <c r="V273" i="1" s="1"/>
  <c r="Q274" i="1"/>
  <c r="S274" i="1" s="1"/>
  <c r="T274" i="1" s="1"/>
  <c r="V274" i="1" s="1"/>
  <c r="Q275" i="1"/>
  <c r="S275" i="1" s="1"/>
  <c r="T275" i="1" s="1"/>
  <c r="V275" i="1" s="1"/>
  <c r="Q276" i="1"/>
  <c r="S276" i="1" s="1"/>
  <c r="T276" i="1" s="1"/>
  <c r="V276" i="1" s="1"/>
  <c r="Q277" i="1"/>
  <c r="S277" i="1" s="1"/>
  <c r="T277" i="1" s="1"/>
  <c r="V277" i="1" s="1"/>
  <c r="Q278" i="1"/>
  <c r="S278" i="1" s="1"/>
  <c r="T278" i="1" s="1"/>
  <c r="V278" i="1" s="1"/>
  <c r="Q279" i="1"/>
  <c r="S279" i="1" s="1"/>
  <c r="T279" i="1" s="1"/>
  <c r="V279" i="1" s="1"/>
  <c r="Q280" i="1"/>
  <c r="S280" i="1" s="1"/>
  <c r="T280" i="1" s="1"/>
  <c r="V280" i="1" s="1"/>
  <c r="Q281" i="1"/>
  <c r="S281" i="1" s="1"/>
  <c r="T281" i="1" s="1"/>
  <c r="V281" i="1" s="1"/>
  <c r="Q282" i="1"/>
  <c r="S282" i="1" s="1"/>
  <c r="T282" i="1" s="1"/>
  <c r="V282" i="1" s="1"/>
  <c r="Q283" i="1"/>
  <c r="S283" i="1" s="1"/>
  <c r="T283" i="1" s="1"/>
  <c r="V283" i="1" s="1"/>
  <c r="Q284" i="1"/>
  <c r="S284" i="1" s="1"/>
  <c r="T284" i="1" s="1"/>
  <c r="V284" i="1" s="1"/>
  <c r="Q285" i="1"/>
  <c r="S285" i="1" s="1"/>
  <c r="T285" i="1" s="1"/>
  <c r="V285" i="1" s="1"/>
  <c r="Q286" i="1"/>
  <c r="S286" i="1" s="1"/>
  <c r="T286" i="1" s="1"/>
  <c r="V286" i="1" s="1"/>
  <c r="Q287" i="1"/>
  <c r="S287" i="1" s="1"/>
  <c r="T287" i="1" s="1"/>
  <c r="V287" i="1" s="1"/>
  <c r="Q288" i="1"/>
  <c r="S288" i="1" s="1"/>
  <c r="T288" i="1" s="1"/>
  <c r="V288" i="1" s="1"/>
  <c r="Q289" i="1"/>
  <c r="S289" i="1" s="1"/>
  <c r="T289" i="1" s="1"/>
  <c r="V289" i="1" s="1"/>
  <c r="Q290" i="1"/>
  <c r="S290" i="1" s="1"/>
  <c r="T290" i="1" s="1"/>
  <c r="V290" i="1" s="1"/>
  <c r="Q291" i="1"/>
  <c r="S291" i="1" s="1"/>
  <c r="T291" i="1" s="1"/>
  <c r="V291" i="1" s="1"/>
  <c r="Q292" i="1"/>
  <c r="S292" i="1" s="1"/>
  <c r="T292" i="1" s="1"/>
  <c r="V292" i="1" s="1"/>
  <c r="Q293" i="1"/>
  <c r="Q294" i="1"/>
  <c r="Q295" i="1"/>
  <c r="S295" i="1" s="1"/>
  <c r="Q296" i="1"/>
  <c r="Q297" i="1"/>
  <c r="S297" i="1" s="1"/>
  <c r="T297" i="1" s="1"/>
  <c r="V297" i="1" s="1"/>
  <c r="Q298" i="1"/>
  <c r="Q299" i="1"/>
  <c r="Q300" i="1"/>
  <c r="S300" i="1" s="1"/>
  <c r="T300" i="1" s="1"/>
  <c r="V300" i="1" s="1"/>
  <c r="Q301" i="1"/>
  <c r="S301" i="1" s="1"/>
  <c r="T301" i="1" s="1"/>
  <c r="V301" i="1" s="1"/>
  <c r="Q302" i="1"/>
  <c r="S302" i="1" s="1"/>
  <c r="T302" i="1" s="1"/>
  <c r="V302" i="1" s="1"/>
  <c r="Q303" i="1"/>
  <c r="S303" i="1" s="1"/>
  <c r="T303" i="1" s="1"/>
  <c r="V303" i="1" s="1"/>
  <c r="Q304" i="1"/>
  <c r="S304" i="1" s="1"/>
  <c r="T304" i="1" s="1"/>
  <c r="V304" i="1" s="1"/>
  <c r="Q305" i="1"/>
  <c r="S305" i="1" s="1"/>
  <c r="T305" i="1" s="1"/>
  <c r="V305" i="1" s="1"/>
  <c r="Q306" i="1"/>
  <c r="S306" i="1" s="1"/>
  <c r="T306" i="1" s="1"/>
  <c r="V306" i="1" s="1"/>
  <c r="Q307" i="1"/>
  <c r="S307" i="1" s="1"/>
  <c r="T307" i="1" s="1"/>
  <c r="V307" i="1" s="1"/>
  <c r="Q308" i="1"/>
  <c r="S308" i="1" s="1"/>
  <c r="T308" i="1" s="1"/>
  <c r="V308" i="1" s="1"/>
  <c r="Q309" i="1"/>
  <c r="S309" i="1" s="1"/>
  <c r="T309" i="1" s="1"/>
  <c r="V309" i="1" s="1"/>
  <c r="Q310" i="1"/>
  <c r="S310" i="1" s="1"/>
  <c r="T310" i="1" s="1"/>
  <c r="V310" i="1" s="1"/>
  <c r="Q311" i="1"/>
  <c r="S311" i="1" s="1"/>
  <c r="T311" i="1" s="1"/>
  <c r="V311" i="1" s="1"/>
  <c r="Q312" i="1"/>
  <c r="S312" i="1" s="1"/>
  <c r="T312" i="1" s="1"/>
  <c r="V312" i="1" s="1"/>
  <c r="Q313" i="1"/>
  <c r="S313" i="1" s="1"/>
  <c r="T313" i="1" s="1"/>
  <c r="V313" i="1" s="1"/>
  <c r="Q314" i="1"/>
  <c r="S314" i="1" s="1"/>
  <c r="T314" i="1" s="1"/>
  <c r="V314" i="1" s="1"/>
  <c r="Q315" i="1"/>
  <c r="S315" i="1" s="1"/>
  <c r="Q316" i="1"/>
  <c r="S316" i="1" s="1"/>
  <c r="T316" i="1" s="1"/>
  <c r="V316" i="1" s="1"/>
  <c r="Q317" i="1"/>
  <c r="S317" i="1" s="1"/>
  <c r="T317" i="1" s="1"/>
  <c r="V317" i="1" s="1"/>
  <c r="Q318" i="1"/>
  <c r="S318" i="1" s="1"/>
  <c r="T318" i="1" s="1"/>
  <c r="V318" i="1" s="1"/>
  <c r="Q319" i="1"/>
  <c r="S319" i="1" s="1"/>
  <c r="Q320" i="1"/>
  <c r="S320" i="1" s="1"/>
  <c r="T320" i="1" s="1"/>
  <c r="V320" i="1" s="1"/>
  <c r="Q321" i="1"/>
  <c r="S321" i="1" s="1"/>
  <c r="T321" i="1" s="1"/>
  <c r="V321" i="1" s="1"/>
  <c r="Q322" i="1"/>
  <c r="S322" i="1" s="1"/>
  <c r="T322" i="1" s="1"/>
  <c r="Q323" i="1"/>
  <c r="Q324" i="1"/>
  <c r="S324" i="1" s="1"/>
  <c r="T324" i="1" s="1"/>
  <c r="V324" i="1" s="1"/>
  <c r="Q325" i="1"/>
  <c r="S325" i="1" s="1"/>
  <c r="T325" i="1" s="1"/>
  <c r="V325" i="1" s="1"/>
  <c r="Q326" i="1"/>
  <c r="S326" i="1" s="1"/>
  <c r="T326" i="1" s="1"/>
  <c r="V326" i="1" s="1"/>
  <c r="Q327" i="1"/>
  <c r="S327" i="1" s="1"/>
  <c r="T327" i="1" s="1"/>
  <c r="V327" i="1" s="1"/>
  <c r="Q328" i="1"/>
  <c r="S328" i="1" s="1"/>
  <c r="T328" i="1" s="1"/>
  <c r="V328" i="1" s="1"/>
  <c r="Q329" i="1"/>
  <c r="S329" i="1" s="1"/>
  <c r="T329" i="1" s="1"/>
  <c r="V329" i="1" s="1"/>
  <c r="Q330" i="1"/>
  <c r="S330" i="1" s="1"/>
  <c r="T330" i="1" s="1"/>
  <c r="V330" i="1" s="1"/>
  <c r="Q331" i="1"/>
  <c r="S331" i="1" s="1"/>
  <c r="T331" i="1" s="1"/>
  <c r="V331" i="1" s="1"/>
  <c r="Q332" i="1"/>
  <c r="S332" i="1" s="1"/>
  <c r="T332" i="1" s="1"/>
  <c r="V332" i="1" s="1"/>
  <c r="Q333" i="1"/>
  <c r="S333" i="1" s="1"/>
  <c r="T333" i="1" s="1"/>
  <c r="V333" i="1" s="1"/>
  <c r="Q334" i="1"/>
  <c r="S334" i="1" s="1"/>
  <c r="T334" i="1" s="1"/>
  <c r="V334" i="1" s="1"/>
  <c r="Q335" i="1"/>
  <c r="Q336" i="1"/>
  <c r="Q337" i="1"/>
  <c r="S337" i="1" s="1"/>
  <c r="T337" i="1" s="1"/>
  <c r="V337" i="1" s="1"/>
  <c r="Q338" i="1"/>
  <c r="S338" i="1" s="1"/>
  <c r="T338" i="1" s="1"/>
  <c r="V338" i="1" s="1"/>
  <c r="Q339" i="1"/>
  <c r="S339" i="1" s="1"/>
  <c r="T339" i="1" s="1"/>
  <c r="V339" i="1" s="1"/>
  <c r="Q340" i="1"/>
  <c r="S340" i="1" s="1"/>
  <c r="T340" i="1" s="1"/>
  <c r="V340" i="1" s="1"/>
  <c r="Q341" i="1"/>
  <c r="Q342" i="1"/>
  <c r="S342" i="1" s="1"/>
  <c r="T342" i="1" s="1"/>
  <c r="V342" i="1" s="1"/>
  <c r="Q343" i="1"/>
  <c r="S343" i="1" s="1"/>
  <c r="T343" i="1" s="1"/>
  <c r="V343" i="1" s="1"/>
  <c r="Q344" i="1"/>
  <c r="S344" i="1" s="1"/>
  <c r="T344" i="1" s="1"/>
  <c r="V344" i="1" s="1"/>
  <c r="Q345" i="1"/>
  <c r="S345" i="1" s="1"/>
  <c r="T345" i="1" s="1"/>
  <c r="V345" i="1" s="1"/>
  <c r="Q346" i="1"/>
  <c r="S346" i="1" s="1"/>
  <c r="T346" i="1" s="1"/>
  <c r="V346" i="1" s="1"/>
  <c r="Q347" i="1"/>
  <c r="S347" i="1" s="1"/>
  <c r="T347" i="1" s="1"/>
  <c r="V347" i="1" s="1"/>
  <c r="Q348" i="1"/>
  <c r="S348" i="1" s="1"/>
  <c r="T348" i="1" s="1"/>
  <c r="V348" i="1" s="1"/>
  <c r="Q349" i="1"/>
  <c r="S349" i="1" s="1"/>
  <c r="T349" i="1" s="1"/>
  <c r="V349" i="1" s="1"/>
  <c r="Q350" i="1"/>
  <c r="S350" i="1" s="1"/>
  <c r="T350" i="1" s="1"/>
  <c r="V350" i="1" s="1"/>
  <c r="Q351" i="1"/>
  <c r="S351" i="1" s="1"/>
  <c r="T351" i="1" s="1"/>
  <c r="V351" i="1" s="1"/>
  <c r="Q352" i="1"/>
  <c r="S352" i="1" s="1"/>
  <c r="T352" i="1" s="1"/>
  <c r="V352" i="1" s="1"/>
  <c r="Q353" i="1"/>
  <c r="S353" i="1" s="1"/>
  <c r="T353" i="1" s="1"/>
  <c r="V353" i="1" s="1"/>
  <c r="Q354" i="1"/>
  <c r="S354" i="1" s="1"/>
  <c r="T354" i="1" s="1"/>
  <c r="V354" i="1" s="1"/>
  <c r="Q355" i="1"/>
  <c r="S355" i="1" s="1"/>
  <c r="T355" i="1" s="1"/>
  <c r="V355" i="1" s="1"/>
  <c r="Q356" i="1"/>
  <c r="S356" i="1" s="1"/>
  <c r="T356" i="1" s="1"/>
  <c r="V356" i="1" s="1"/>
  <c r="Q357" i="1"/>
  <c r="S357" i="1" s="1"/>
  <c r="T357" i="1" s="1"/>
  <c r="V357" i="1" s="1"/>
  <c r="Q358" i="1"/>
  <c r="S358" i="1" s="1"/>
  <c r="T358" i="1" s="1"/>
  <c r="V358" i="1" s="1"/>
  <c r="Q359" i="1"/>
  <c r="S359" i="1" s="1"/>
  <c r="T359" i="1" s="1"/>
  <c r="V359" i="1" s="1"/>
  <c r="Q360" i="1"/>
  <c r="S360" i="1" s="1"/>
  <c r="T360" i="1" s="1"/>
  <c r="V360" i="1" s="1"/>
  <c r="Q361" i="1"/>
  <c r="S361" i="1" s="1"/>
  <c r="T361" i="1" s="1"/>
  <c r="V361" i="1" s="1"/>
  <c r="Q362" i="1"/>
  <c r="S362" i="1" s="1"/>
  <c r="T362" i="1" s="1"/>
  <c r="V362" i="1" s="1"/>
  <c r="Q363" i="1"/>
  <c r="S363" i="1" s="1"/>
  <c r="T363" i="1" s="1"/>
  <c r="V363" i="1" s="1"/>
  <c r="Q364" i="1"/>
  <c r="S364" i="1" s="1"/>
  <c r="T364" i="1" s="1"/>
  <c r="V364" i="1" s="1"/>
  <c r="Q365" i="1"/>
  <c r="S365" i="1" s="1"/>
  <c r="T365" i="1" s="1"/>
  <c r="V365" i="1" s="1"/>
  <c r="Q366" i="1"/>
  <c r="Q367" i="1"/>
  <c r="S367" i="1" s="1"/>
  <c r="T367" i="1" s="1"/>
  <c r="V367" i="1" s="1"/>
  <c r="Q368" i="1"/>
  <c r="Q369" i="1"/>
  <c r="Q370" i="1"/>
  <c r="Q371" i="1"/>
  <c r="Q372" i="1"/>
  <c r="Q373" i="1"/>
  <c r="S373" i="1" s="1"/>
  <c r="T373" i="1" s="1"/>
  <c r="V373" i="1" s="1"/>
  <c r="Q374" i="1"/>
  <c r="S374" i="1" s="1"/>
  <c r="T374" i="1" s="1"/>
  <c r="V374" i="1" s="1"/>
  <c r="Q375" i="1"/>
  <c r="S375" i="1" s="1"/>
  <c r="T375" i="1" s="1"/>
  <c r="V375" i="1" s="1"/>
  <c r="Q376" i="1"/>
  <c r="S376" i="1" s="1"/>
  <c r="T376" i="1" s="1"/>
  <c r="V376" i="1" s="1"/>
  <c r="Q377" i="1"/>
  <c r="S377" i="1" s="1"/>
  <c r="T377" i="1" s="1"/>
  <c r="V377" i="1" s="1"/>
  <c r="Q378" i="1"/>
  <c r="S378" i="1" s="1"/>
  <c r="T378" i="1" s="1"/>
  <c r="V378" i="1" s="1"/>
  <c r="Q379" i="1"/>
  <c r="S379" i="1" s="1"/>
  <c r="T379" i="1" s="1"/>
  <c r="V379" i="1" s="1"/>
  <c r="Q380" i="1"/>
  <c r="S380" i="1" s="1"/>
  <c r="T380" i="1" s="1"/>
  <c r="V380" i="1" s="1"/>
  <c r="Q381" i="1"/>
  <c r="S381" i="1" s="1"/>
  <c r="T381" i="1" s="1"/>
  <c r="V381" i="1" s="1"/>
  <c r="Q382" i="1"/>
  <c r="S382" i="1" s="1"/>
  <c r="T382" i="1" s="1"/>
  <c r="V382" i="1" s="1"/>
  <c r="Q383" i="1"/>
  <c r="S383" i="1" s="1"/>
  <c r="T383" i="1" s="1"/>
  <c r="V383" i="1" s="1"/>
  <c r="Q384" i="1"/>
  <c r="S384" i="1" s="1"/>
  <c r="T384" i="1" s="1"/>
  <c r="V384" i="1" s="1"/>
  <c r="Q385" i="1"/>
  <c r="S385" i="1" s="1"/>
  <c r="T385" i="1" s="1"/>
  <c r="V385" i="1" s="1"/>
  <c r="Q386" i="1"/>
  <c r="S386" i="1" s="1"/>
  <c r="T386" i="1" s="1"/>
  <c r="V386" i="1" s="1"/>
  <c r="Q387" i="1"/>
  <c r="S387" i="1" s="1"/>
  <c r="T387" i="1" s="1"/>
  <c r="V387" i="1" s="1"/>
  <c r="Q388" i="1"/>
  <c r="S388" i="1" s="1"/>
  <c r="T388" i="1" s="1"/>
  <c r="V388" i="1" s="1"/>
  <c r="Q389" i="1"/>
  <c r="S389" i="1" s="1"/>
  <c r="T389" i="1" s="1"/>
  <c r="V389" i="1" s="1"/>
  <c r="Q390" i="1"/>
  <c r="S390" i="1" s="1"/>
  <c r="T390" i="1" s="1"/>
  <c r="V390" i="1" s="1"/>
  <c r="Q391" i="1"/>
  <c r="S391" i="1" s="1"/>
  <c r="T391" i="1" s="1"/>
  <c r="V391" i="1" s="1"/>
  <c r="Q392" i="1"/>
  <c r="Q393" i="1"/>
  <c r="S393" i="1" s="1"/>
  <c r="T393" i="1" s="1"/>
  <c r="V393" i="1" s="1"/>
  <c r="Q394" i="1"/>
  <c r="Q395" i="1"/>
  <c r="Q396" i="1"/>
  <c r="S396" i="1" s="1"/>
  <c r="T396" i="1" s="1"/>
  <c r="V396" i="1" s="1"/>
  <c r="Q397" i="1"/>
  <c r="S397" i="1" s="1"/>
  <c r="T397" i="1" s="1"/>
  <c r="V397" i="1" s="1"/>
  <c r="Q398" i="1"/>
  <c r="S398" i="1" s="1"/>
  <c r="T398" i="1" s="1"/>
  <c r="V398" i="1" s="1"/>
  <c r="Q399" i="1"/>
  <c r="S399" i="1" s="1"/>
  <c r="T399" i="1" s="1"/>
  <c r="V399" i="1" s="1"/>
  <c r="Q400" i="1"/>
  <c r="S400" i="1" s="1"/>
  <c r="T400" i="1" s="1"/>
  <c r="V400" i="1" s="1"/>
  <c r="Q401" i="1"/>
  <c r="S401" i="1" s="1"/>
  <c r="T401" i="1" s="1"/>
  <c r="V401" i="1" s="1"/>
  <c r="Q402" i="1"/>
  <c r="S402" i="1" s="1"/>
  <c r="T402" i="1" s="1"/>
  <c r="V402" i="1" s="1"/>
  <c r="Q403" i="1"/>
  <c r="S403" i="1" s="1"/>
  <c r="T403" i="1" s="1"/>
  <c r="V403" i="1" s="1"/>
  <c r="Q404" i="1"/>
  <c r="S404" i="1" s="1"/>
  <c r="T404" i="1" s="1"/>
  <c r="V404" i="1" s="1"/>
  <c r="Q405" i="1"/>
  <c r="S405" i="1" s="1"/>
  <c r="T405" i="1" s="1"/>
  <c r="V405" i="1" s="1"/>
  <c r="Q406" i="1"/>
  <c r="S406" i="1" s="1"/>
  <c r="T406" i="1" s="1"/>
  <c r="V406" i="1" s="1"/>
  <c r="Q407" i="1"/>
  <c r="S407" i="1" s="1"/>
  <c r="T407" i="1" s="1"/>
  <c r="V407" i="1" s="1"/>
  <c r="Q408" i="1"/>
  <c r="S408" i="1" s="1"/>
  <c r="T408" i="1" s="1"/>
  <c r="V408" i="1" s="1"/>
  <c r="Q409" i="1"/>
  <c r="S409" i="1" s="1"/>
  <c r="T409" i="1" s="1"/>
  <c r="V409" i="1" s="1"/>
  <c r="Q410" i="1"/>
  <c r="S410" i="1" s="1"/>
  <c r="T410" i="1" s="1"/>
  <c r="V410" i="1" s="1"/>
  <c r="Q411" i="1"/>
  <c r="S411" i="1" s="1"/>
  <c r="Q412" i="1"/>
  <c r="S412" i="1" s="1"/>
  <c r="Q413" i="1"/>
  <c r="Q414" i="1"/>
  <c r="S414" i="1" s="1"/>
  <c r="T414" i="1" s="1"/>
  <c r="V414" i="1" s="1"/>
  <c r="Q415" i="1"/>
  <c r="S415" i="1" s="1"/>
  <c r="Q416" i="1"/>
  <c r="Q417" i="1"/>
  <c r="S417" i="1" s="1"/>
  <c r="T417" i="1" s="1"/>
  <c r="V417" i="1" s="1"/>
  <c r="Q418" i="1"/>
  <c r="S418" i="1" s="1"/>
  <c r="T418" i="1" s="1"/>
  <c r="V418" i="1" s="1"/>
  <c r="Q419" i="1"/>
  <c r="S419" i="1" s="1"/>
  <c r="T419" i="1" s="1"/>
  <c r="V419" i="1" s="1"/>
  <c r="Q420" i="1"/>
  <c r="S420" i="1" s="1"/>
  <c r="T420" i="1" s="1"/>
  <c r="V420" i="1" s="1"/>
  <c r="Q421" i="1"/>
  <c r="S421" i="1" s="1"/>
  <c r="T421" i="1" s="1"/>
  <c r="V421" i="1" s="1"/>
  <c r="Q422" i="1"/>
  <c r="S422" i="1" s="1"/>
  <c r="T422" i="1" s="1"/>
  <c r="V422" i="1" s="1"/>
  <c r="Q423" i="1"/>
  <c r="S423" i="1" s="1"/>
  <c r="T423" i="1" s="1"/>
  <c r="V423" i="1" s="1"/>
  <c r="Q424" i="1"/>
  <c r="S424" i="1" s="1"/>
  <c r="T424" i="1" s="1"/>
  <c r="V424" i="1" s="1"/>
  <c r="Q425" i="1"/>
  <c r="S425" i="1" s="1"/>
  <c r="T425" i="1" s="1"/>
  <c r="V425" i="1" s="1"/>
  <c r="Q426" i="1"/>
  <c r="S426" i="1" s="1"/>
  <c r="T426" i="1" s="1"/>
  <c r="V426" i="1" s="1"/>
  <c r="Q427" i="1"/>
  <c r="S427" i="1" s="1"/>
  <c r="T427" i="1" s="1"/>
  <c r="V427" i="1" s="1"/>
  <c r="Q428" i="1"/>
  <c r="S428" i="1" s="1"/>
  <c r="T428" i="1" s="1"/>
  <c r="V428" i="1" s="1"/>
  <c r="Q429" i="1"/>
  <c r="S429" i="1" s="1"/>
  <c r="T429" i="1" s="1"/>
  <c r="V429" i="1" s="1"/>
  <c r="Q430" i="1"/>
  <c r="S430" i="1" s="1"/>
  <c r="T430" i="1" s="1"/>
  <c r="V430" i="1" s="1"/>
  <c r="Q431" i="1"/>
  <c r="Q432" i="1"/>
  <c r="Q433" i="1"/>
  <c r="Q434" i="1"/>
  <c r="S434" i="1" s="1"/>
  <c r="T434" i="1" s="1"/>
  <c r="V434" i="1" s="1"/>
  <c r="Q435" i="1"/>
  <c r="S435" i="1" s="1"/>
  <c r="T435" i="1" s="1"/>
  <c r="V435" i="1" s="1"/>
  <c r="Q436" i="1"/>
  <c r="S436" i="1" s="1"/>
  <c r="T436" i="1" s="1"/>
  <c r="V436" i="1" s="1"/>
  <c r="Q437" i="1"/>
  <c r="Q438" i="1"/>
  <c r="Q439" i="1"/>
  <c r="S439" i="1" s="1"/>
  <c r="T439" i="1" s="1"/>
  <c r="V439" i="1" s="1"/>
  <c r="Q440" i="1"/>
  <c r="S440" i="1" s="1"/>
  <c r="T440" i="1" s="1"/>
  <c r="V440" i="1" s="1"/>
  <c r="Q441" i="1"/>
  <c r="S441" i="1" s="1"/>
  <c r="T441" i="1" s="1"/>
  <c r="V441" i="1" s="1"/>
  <c r="Q442" i="1"/>
  <c r="S442" i="1" s="1"/>
  <c r="T442" i="1" s="1"/>
  <c r="V442" i="1" s="1"/>
  <c r="Q443" i="1"/>
  <c r="S443" i="1" s="1"/>
  <c r="T443" i="1" s="1"/>
  <c r="V443" i="1" s="1"/>
  <c r="Q444" i="1"/>
  <c r="S444" i="1" s="1"/>
  <c r="T444" i="1" s="1"/>
  <c r="V444" i="1" s="1"/>
  <c r="Q445" i="1"/>
  <c r="S445" i="1" s="1"/>
  <c r="T445" i="1" s="1"/>
  <c r="V445" i="1" s="1"/>
  <c r="Q446" i="1"/>
  <c r="S446" i="1" s="1"/>
  <c r="T446" i="1" s="1"/>
  <c r="V446" i="1" s="1"/>
  <c r="Q447" i="1"/>
  <c r="S447" i="1" s="1"/>
  <c r="T447" i="1" s="1"/>
  <c r="V447" i="1" s="1"/>
  <c r="Q448" i="1"/>
  <c r="S448" i="1" s="1"/>
  <c r="T448" i="1" s="1"/>
  <c r="V448" i="1" s="1"/>
  <c r="Q449" i="1"/>
  <c r="S449" i="1" s="1"/>
  <c r="T449" i="1" s="1"/>
  <c r="V449" i="1" s="1"/>
  <c r="Q450" i="1"/>
  <c r="S450" i="1" s="1"/>
  <c r="T450" i="1" s="1"/>
  <c r="V450" i="1" s="1"/>
  <c r="Q451" i="1"/>
  <c r="S451" i="1" s="1"/>
  <c r="T451" i="1" s="1"/>
  <c r="V451" i="1" s="1"/>
  <c r="Q452" i="1"/>
  <c r="S452" i="1" s="1"/>
  <c r="T452" i="1" s="1"/>
  <c r="V452" i="1" s="1"/>
  <c r="Q453" i="1"/>
  <c r="S453" i="1" s="1"/>
  <c r="T453" i="1" s="1"/>
  <c r="V453" i="1" s="1"/>
  <c r="Q454" i="1"/>
  <c r="S454" i="1" s="1"/>
  <c r="T454" i="1" s="1"/>
  <c r="V454" i="1" s="1"/>
  <c r="Q455" i="1"/>
  <c r="S455" i="1" s="1"/>
  <c r="T455" i="1" s="1"/>
  <c r="V455" i="1" s="1"/>
  <c r="Q456" i="1"/>
  <c r="S456" i="1" s="1"/>
  <c r="T456" i="1" s="1"/>
  <c r="V456" i="1" s="1"/>
  <c r="Q457" i="1"/>
  <c r="S457" i="1" s="1"/>
  <c r="T457" i="1" s="1"/>
  <c r="V457" i="1" s="1"/>
  <c r="Q458" i="1"/>
  <c r="S458" i="1" s="1"/>
  <c r="T458" i="1" s="1"/>
  <c r="V458" i="1" s="1"/>
  <c r="Q459" i="1"/>
  <c r="S459" i="1" s="1"/>
  <c r="T459" i="1" s="1"/>
  <c r="V459" i="1" s="1"/>
  <c r="Q460" i="1"/>
  <c r="S460" i="1" s="1"/>
  <c r="T460" i="1" s="1"/>
  <c r="V460" i="1" s="1"/>
  <c r="Q461" i="1"/>
  <c r="Q462" i="1"/>
  <c r="S462" i="1" s="1"/>
  <c r="T462" i="1" s="1"/>
  <c r="V462" i="1" s="1"/>
  <c r="Q463" i="1"/>
  <c r="S463" i="1" s="1"/>
  <c r="T463" i="1" s="1"/>
  <c r="V463" i="1" s="1"/>
  <c r="Q464" i="1"/>
  <c r="S464" i="1" s="1"/>
  <c r="T464" i="1" s="1"/>
  <c r="V464" i="1" s="1"/>
  <c r="Q465" i="1"/>
  <c r="S465" i="1" s="1"/>
  <c r="T465" i="1" s="1"/>
  <c r="V465" i="1" s="1"/>
  <c r="Q466" i="1"/>
  <c r="S466" i="1" s="1"/>
  <c r="T466" i="1" s="1"/>
  <c r="V466" i="1" s="1"/>
  <c r="Q467" i="1"/>
  <c r="S467" i="1" s="1"/>
  <c r="T467" i="1" s="1"/>
  <c r="V467" i="1" s="1"/>
  <c r="Q468" i="1"/>
  <c r="S468" i="1" s="1"/>
  <c r="T468" i="1" s="1"/>
  <c r="V468" i="1" s="1"/>
  <c r="Q469" i="1"/>
  <c r="S469" i="1" s="1"/>
  <c r="T469" i="1" s="1"/>
  <c r="V469" i="1" s="1"/>
  <c r="Q470" i="1"/>
  <c r="S470" i="1" s="1"/>
  <c r="T470" i="1" s="1"/>
  <c r="V470" i="1" s="1"/>
  <c r="Q471" i="1"/>
  <c r="S471" i="1" s="1"/>
  <c r="T471" i="1" s="1"/>
  <c r="V471" i="1" s="1"/>
  <c r="Q472" i="1"/>
  <c r="S472" i="1" s="1"/>
  <c r="T472" i="1" s="1"/>
  <c r="V472" i="1" s="1"/>
  <c r="Q473" i="1"/>
  <c r="S473" i="1" s="1"/>
  <c r="T473" i="1" s="1"/>
  <c r="V473" i="1" s="1"/>
  <c r="Q474" i="1"/>
  <c r="S474" i="1" s="1"/>
  <c r="T474" i="1" s="1"/>
  <c r="V474" i="1" s="1"/>
  <c r="Q475" i="1"/>
  <c r="S475" i="1" s="1"/>
  <c r="T475" i="1" s="1"/>
  <c r="V475" i="1" s="1"/>
  <c r="Q476" i="1"/>
  <c r="S476" i="1" s="1"/>
  <c r="T476" i="1" s="1"/>
  <c r="V476" i="1" s="1"/>
  <c r="Q477" i="1"/>
  <c r="S477" i="1" s="1"/>
  <c r="T477" i="1" s="1"/>
  <c r="V477" i="1" s="1"/>
  <c r="Q478" i="1"/>
  <c r="S478" i="1" s="1"/>
  <c r="T478" i="1" s="1"/>
  <c r="V478" i="1" s="1"/>
  <c r="Q479" i="1"/>
  <c r="S479" i="1" s="1"/>
  <c r="T479" i="1" s="1"/>
  <c r="V479" i="1" s="1"/>
  <c r="Q480" i="1"/>
  <c r="S480" i="1" s="1"/>
  <c r="T480" i="1" s="1"/>
  <c r="V480" i="1" s="1"/>
  <c r="Q481" i="1"/>
  <c r="S481" i="1" s="1"/>
  <c r="T481" i="1" s="1"/>
  <c r="V481" i="1" s="1"/>
  <c r="Q482" i="1"/>
  <c r="S482" i="1" s="1"/>
  <c r="T482" i="1" s="1"/>
  <c r="V482" i="1" s="1"/>
  <c r="Q483" i="1"/>
  <c r="S483" i="1" s="1"/>
  <c r="Q484" i="1"/>
  <c r="S484" i="1" s="1"/>
  <c r="Q485" i="1"/>
  <c r="S485" i="1" s="1"/>
  <c r="T485" i="1" s="1"/>
  <c r="V485" i="1" s="1"/>
  <c r="Q486" i="1"/>
  <c r="S486" i="1" s="1"/>
  <c r="T486" i="1" s="1"/>
  <c r="V486" i="1" s="1"/>
  <c r="Q487" i="1"/>
  <c r="S487" i="1" s="1"/>
  <c r="T487" i="1" s="1"/>
  <c r="V487" i="1" s="1"/>
  <c r="Q488" i="1"/>
  <c r="Q489" i="1"/>
  <c r="S489" i="1" s="1"/>
  <c r="T489" i="1" s="1"/>
  <c r="V489" i="1" s="1"/>
  <c r="Q490" i="1"/>
  <c r="Q491" i="1"/>
  <c r="Q492" i="1"/>
  <c r="S492" i="1" s="1"/>
  <c r="T492" i="1" s="1"/>
  <c r="V492" i="1" s="1"/>
  <c r="Q493" i="1"/>
  <c r="S493" i="1" s="1"/>
  <c r="T493" i="1" s="1"/>
  <c r="V493" i="1" s="1"/>
  <c r="Q494" i="1"/>
  <c r="S494" i="1" s="1"/>
  <c r="T494" i="1" s="1"/>
  <c r="V494" i="1" s="1"/>
  <c r="Q495" i="1"/>
  <c r="S495" i="1" s="1"/>
  <c r="T495" i="1" s="1"/>
  <c r="V495" i="1" s="1"/>
  <c r="Q496" i="1"/>
  <c r="S496" i="1" s="1"/>
  <c r="T496" i="1" s="1"/>
  <c r="V496" i="1" s="1"/>
  <c r="Q497" i="1"/>
  <c r="S497" i="1" s="1"/>
  <c r="T497" i="1" s="1"/>
  <c r="V497" i="1" s="1"/>
  <c r="Q498" i="1"/>
  <c r="S498" i="1" s="1"/>
  <c r="T498" i="1" s="1"/>
  <c r="V498" i="1" s="1"/>
  <c r="Q499" i="1"/>
  <c r="S499" i="1" s="1"/>
  <c r="T499" i="1" s="1"/>
  <c r="V499" i="1" s="1"/>
  <c r="Q500" i="1"/>
  <c r="S500" i="1" s="1"/>
  <c r="T500" i="1" s="1"/>
  <c r="V500" i="1" s="1"/>
  <c r="Q501" i="1"/>
  <c r="S501" i="1" s="1"/>
  <c r="T501" i="1" s="1"/>
  <c r="V501" i="1" s="1"/>
  <c r="Q502" i="1"/>
  <c r="S502" i="1" s="1"/>
  <c r="T502" i="1" s="1"/>
  <c r="V502" i="1" s="1"/>
  <c r="Q503" i="1"/>
  <c r="S503" i="1" s="1"/>
  <c r="T503" i="1" s="1"/>
  <c r="V503" i="1" s="1"/>
  <c r="Q504" i="1"/>
  <c r="S504" i="1" s="1"/>
  <c r="T504" i="1" s="1"/>
  <c r="V504" i="1" s="1"/>
  <c r="Q505" i="1"/>
  <c r="S505" i="1" s="1"/>
  <c r="T505" i="1" s="1"/>
  <c r="V505" i="1" s="1"/>
  <c r="Q506" i="1"/>
  <c r="S506" i="1" s="1"/>
  <c r="T506" i="1" s="1"/>
  <c r="V506" i="1" s="1"/>
  <c r="Q507" i="1"/>
  <c r="S507" i="1" s="1"/>
  <c r="T507" i="1" s="1"/>
  <c r="V507" i="1" s="1"/>
  <c r="Q508" i="1"/>
  <c r="S508" i="1" s="1"/>
  <c r="T508" i="1" s="1"/>
  <c r="V508" i="1" s="1"/>
  <c r="Q509" i="1"/>
  <c r="Q510" i="1"/>
  <c r="Q511" i="1"/>
  <c r="S511" i="1" s="1"/>
  <c r="Q512" i="1"/>
  <c r="S512" i="1" s="1"/>
  <c r="Q513" i="1"/>
  <c r="S513" i="1" s="1"/>
  <c r="T513" i="1" s="1"/>
  <c r="V513" i="1" s="1"/>
  <c r="Q514" i="1"/>
  <c r="S514" i="1" s="1"/>
  <c r="T514" i="1" s="1"/>
  <c r="V514" i="1" s="1"/>
  <c r="Q515" i="1"/>
  <c r="S515" i="1" s="1"/>
  <c r="T515" i="1" s="1"/>
  <c r="V515" i="1" s="1"/>
  <c r="Q516" i="1"/>
  <c r="S516" i="1" s="1"/>
  <c r="T516" i="1" s="1"/>
  <c r="V516" i="1" s="1"/>
  <c r="Q517" i="1"/>
  <c r="S517" i="1" s="1"/>
  <c r="T517" i="1" s="1"/>
  <c r="V517" i="1" s="1"/>
  <c r="Q518" i="1"/>
  <c r="S518" i="1" s="1"/>
  <c r="T518" i="1" s="1"/>
  <c r="V518" i="1" s="1"/>
  <c r="Q519" i="1"/>
  <c r="S519" i="1" s="1"/>
  <c r="T519" i="1" s="1"/>
  <c r="V519" i="1" s="1"/>
  <c r="Q520" i="1"/>
  <c r="S520" i="1" s="1"/>
  <c r="T520" i="1" s="1"/>
  <c r="V520" i="1" s="1"/>
  <c r="Q521" i="1"/>
  <c r="S521" i="1" s="1"/>
  <c r="T521" i="1" s="1"/>
  <c r="V521" i="1" s="1"/>
  <c r="Q18" i="1"/>
  <c r="S18" i="1" s="1"/>
  <c r="T18" i="1" s="1"/>
  <c r="V18" i="1" s="1"/>
  <c r="Q19" i="1"/>
  <c r="S19" i="1" s="1"/>
  <c r="T19" i="1" s="1"/>
  <c r="V19" i="1" s="1"/>
  <c r="Q20" i="1"/>
  <c r="S20" i="1" s="1"/>
  <c r="T20" i="1" s="1"/>
  <c r="V20" i="1" s="1"/>
  <c r="Q3" i="1"/>
  <c r="S3" i="1" s="1"/>
  <c r="T3" i="1" s="1"/>
  <c r="V3" i="1" s="1"/>
  <c r="Q4" i="1"/>
  <c r="S4" i="1" s="1"/>
  <c r="T4" i="1" s="1"/>
  <c r="V4" i="1" s="1"/>
  <c r="Q5" i="1"/>
  <c r="S5" i="1" s="1"/>
  <c r="T5" i="1" s="1"/>
  <c r="V5" i="1" s="1"/>
  <c r="Q6" i="1"/>
  <c r="S6" i="1" s="1"/>
  <c r="T6" i="1" s="1"/>
  <c r="V6" i="1" s="1"/>
  <c r="Q7" i="1"/>
  <c r="S7" i="1" s="1"/>
  <c r="T7" i="1" s="1"/>
  <c r="V7" i="1" s="1"/>
  <c r="Q8" i="1"/>
  <c r="S8" i="1" s="1"/>
  <c r="T8" i="1" s="1"/>
  <c r="V8" i="1" s="1"/>
  <c r="Q9" i="1"/>
  <c r="S9" i="1" s="1"/>
  <c r="T9" i="1" s="1"/>
  <c r="V9" i="1" s="1"/>
  <c r="Q10" i="1"/>
  <c r="S10" i="1" s="1"/>
  <c r="T10" i="1" s="1"/>
  <c r="V10" i="1" s="1"/>
  <c r="Q11" i="1"/>
  <c r="Q12" i="1"/>
  <c r="Q13" i="1"/>
  <c r="Q14" i="1"/>
  <c r="Q15" i="1"/>
  <c r="S15" i="1" s="1"/>
  <c r="T15" i="1" s="1"/>
  <c r="V15" i="1" s="1"/>
  <c r="Q16" i="1"/>
  <c r="Q17" i="1"/>
  <c r="S17" i="1" s="1"/>
  <c r="T17" i="1" s="1"/>
  <c r="V17" i="1" s="1"/>
  <c r="Q2" i="1"/>
  <c r="V522" i="1" l="1"/>
  <c r="Q522" i="1"/>
</calcChain>
</file>

<file path=xl/sharedStrings.xml><?xml version="1.0" encoding="utf-8"?>
<sst xmlns="http://schemas.openxmlformats.org/spreadsheetml/2006/main" count="6734" uniqueCount="1324">
  <si>
    <t>Order No</t>
  </si>
  <si>
    <t>Order Date</t>
  </si>
  <si>
    <t>Customer Name</t>
  </si>
  <si>
    <t>House number</t>
  </si>
  <si>
    <t>Street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</si>
  <si>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</si>
  <si>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</si>
  <si>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</si>
  <si>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</si>
  <si>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</si>
  <si>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</si>
  <si>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</si>
  <si>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</si>
  <si>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Price</t>
  </si>
  <si>
    <t>Quantity</t>
  </si>
  <si>
    <t>Revenue</t>
  </si>
  <si>
    <t>Discount %</t>
  </si>
  <si>
    <t>Discount $</t>
  </si>
  <si>
    <t>Discounted Revenue</t>
  </si>
  <si>
    <t>Shipping Cost</t>
  </si>
  <si>
    <t>Total Revenue</t>
  </si>
  <si>
    <t>5071-1</t>
  </si>
  <si>
    <t>Christopher Schild</t>
  </si>
  <si>
    <t xml:space="preserve"> Coastal Terrace</t>
  </si>
  <si>
    <t>Corporate</t>
  </si>
  <si>
    <t>Tina Carlton</t>
  </si>
  <si>
    <t>Medium</t>
  </si>
  <si>
    <t>Laser Neon Mac Format Diskettes, 10/Pack</t>
  </si>
  <si>
    <t>Technology</t>
  </si>
  <si>
    <t>Small Pack</t>
  </si>
  <si>
    <t>Regular Air</t>
  </si>
  <si>
    <t>5071-2</t>
  </si>
  <si>
    <t>Steady Liquid Accent Highlighters</t>
  </si>
  <si>
    <t>Office Supplies</t>
  </si>
  <si>
    <t>Wrap Bag</t>
  </si>
  <si>
    <t>5145-1</t>
  </si>
  <si>
    <t>Cyma Kinney</t>
  </si>
  <si>
    <t xml:space="preserve"> Oceanic Terrace</t>
  </si>
  <si>
    <t>Small Business</t>
  </si>
  <si>
    <t>Phoebe Gour</t>
  </si>
  <si>
    <t>Low</t>
  </si>
  <si>
    <t>Alto Memo Cubes</t>
  </si>
  <si>
    <t>Express Air</t>
  </si>
  <si>
    <t>5145-2</t>
  </si>
  <si>
    <t>Artisan Hi-Liter Smear-Safe Highlighters</t>
  </si>
  <si>
    <t>5160-1</t>
  </si>
  <si>
    <t>Berenike Kampe</t>
  </si>
  <si>
    <t xml:space="preserve"> Coral Cove Place</t>
  </si>
  <si>
    <t>Connor Betts</t>
  </si>
  <si>
    <t>Not Specified</t>
  </si>
  <si>
    <t>1726 Digital Answering Machine</t>
  </si>
  <si>
    <t>Medium Box</t>
  </si>
  <si>
    <t>5160-2</t>
  </si>
  <si>
    <t>3Max Organizer Strips</t>
  </si>
  <si>
    <t>Small Box</t>
  </si>
  <si>
    <t>5168-1</t>
  </si>
  <si>
    <t>Christy Brittain</t>
  </si>
  <si>
    <t xml:space="preserve"> Harbour Lane</t>
  </si>
  <si>
    <t>Consumer</t>
  </si>
  <si>
    <t>Mihael Khan</t>
  </si>
  <si>
    <t>Critical</t>
  </si>
  <si>
    <t>Smiths Pen Style Liquid Stix; Assorted (yellow, pink, green, blue, orange), 5/Pack</t>
  </si>
  <si>
    <t>5168-2</t>
  </si>
  <si>
    <t>Steady Liquid Accent Tank-Style Highlighters</t>
  </si>
  <si>
    <t>5195-1</t>
  </si>
  <si>
    <t>Alex Grayson</t>
  </si>
  <si>
    <t xml:space="preserve"> Sandy Bay Road</t>
  </si>
  <si>
    <t>Radhya Staples</t>
  </si>
  <si>
    <t>Artisan Durable Binders</t>
  </si>
  <si>
    <t>5195-2</t>
  </si>
  <si>
    <t>Beekin 105-Key Black Keyboard</t>
  </si>
  <si>
    <t>5268-1</t>
  </si>
  <si>
    <t>Stephanie Ulpright</t>
  </si>
  <si>
    <t xml:space="preserve"> Seaside Lane</t>
  </si>
  <si>
    <t>Yvette Biti</t>
  </si>
  <si>
    <t>Artisan Binder Labels</t>
  </si>
  <si>
    <t>Economy Rollaway Files</t>
  </si>
  <si>
    <t>5274-1</t>
  </si>
  <si>
    <t>Sylvia Foulston</t>
  </si>
  <si>
    <t xml:space="preserve"> Elm Lane</t>
  </si>
  <si>
    <t>300 Series Non-Flip</t>
  </si>
  <si>
    <t>5274-2</t>
  </si>
  <si>
    <t>5335-1</t>
  </si>
  <si>
    <t>Patrick Jones</t>
  </si>
  <si>
    <t xml:space="preserve"> Elmwood Boulevard</t>
  </si>
  <si>
    <t>Home Office</t>
  </si>
  <si>
    <t>Artisan Printable Repositionable Plastic Tabs</t>
  </si>
  <si>
    <t>5335-2</t>
  </si>
  <si>
    <t>OIC Colored Binder Clips, Assorted Sizes</t>
  </si>
  <si>
    <t>5358-1</t>
  </si>
  <si>
    <t>Saphhira Shifley</t>
  </si>
  <si>
    <t xml:space="preserve"> Magnoliawood Lane</t>
  </si>
  <si>
    <t>Preston Senome</t>
  </si>
  <si>
    <t>Artisan Heavy-Duty EZD  Binder With Locking Rings</t>
  </si>
  <si>
    <t>5358-2</t>
  </si>
  <si>
    <t>Desktop 3-Pocket Hot File</t>
  </si>
  <si>
    <t>5367-1</t>
  </si>
  <si>
    <t>Anne Pryor</t>
  </si>
  <si>
    <t xml:space="preserve"> Oakwood Boulevard</t>
  </si>
  <si>
    <t>Aanya Zhang</t>
  </si>
  <si>
    <t>5367-2</t>
  </si>
  <si>
    <t>Office Shears by Apex</t>
  </si>
  <si>
    <t>5402-1</t>
  </si>
  <si>
    <t>Logan Haushalter</t>
  </si>
  <si>
    <t xml:space="preserve"> Maplewood Lane</t>
  </si>
  <si>
    <t>HFX LaserJet 3310 Copier</t>
  </si>
  <si>
    <t>Large Box</t>
  </si>
  <si>
    <t>5402-2</t>
  </si>
  <si>
    <t>Unpadded Memo Slips</t>
  </si>
  <si>
    <t>5479-1</t>
  </si>
  <si>
    <t>Tracy Blumstein</t>
  </si>
  <si>
    <t xml:space="preserve"> Elmwood Road</t>
  </si>
  <si>
    <t>Artisan Poly Binder Pockets</t>
  </si>
  <si>
    <t>5479-2</t>
  </si>
  <si>
    <t>Assorted Color Push Pins</t>
  </si>
  <si>
    <t>5539-1</t>
  </si>
  <si>
    <t>Daniel Byrd</t>
  </si>
  <si>
    <t xml:space="preserve"> Coral Cove Drive</t>
  </si>
  <si>
    <t>Samantha Chairs</t>
  </si>
  <si>
    <t>Angle-D Binders with Locking Rings, Label Holders</t>
  </si>
  <si>
    <t>5539-2</t>
  </si>
  <si>
    <t>Smiths Paper Clips</t>
  </si>
  <si>
    <t>5558-1</t>
  </si>
  <si>
    <t>Julia Dunbar</t>
  </si>
  <si>
    <t>Colored Push Pins</t>
  </si>
  <si>
    <t>5558-2</t>
  </si>
  <si>
    <t>Steady Colorific Eraseable Coloring Pencils, 12 Count</t>
  </si>
  <si>
    <t>5566-1</t>
  </si>
  <si>
    <t>Victoria Wilson</t>
  </si>
  <si>
    <t xml:space="preserve"> Seabreeze Drive</t>
  </si>
  <si>
    <t>Natasha Song</t>
  </si>
  <si>
    <t>5566-2</t>
  </si>
  <si>
    <t>Smiths Metal Binder Clips</t>
  </si>
  <si>
    <t>5599-1</t>
  </si>
  <si>
    <t>Ruben Ausman</t>
  </si>
  <si>
    <t xml:space="preserve"> Pineview Street</t>
  </si>
  <si>
    <t>High</t>
  </si>
  <si>
    <t>Cando PC940 Copier</t>
  </si>
  <si>
    <t>Jumbo Drum</t>
  </si>
  <si>
    <t>Delivery Truck</t>
  </si>
  <si>
    <t>5599-2</t>
  </si>
  <si>
    <t>EcoTones Memo Sheets</t>
  </si>
  <si>
    <t>5609-1</t>
  </si>
  <si>
    <t>Eugene Moren</t>
  </si>
  <si>
    <t xml:space="preserve"> Birchwood Drive</t>
  </si>
  <si>
    <t>Smiths General Use 3-Ring Binders</t>
  </si>
  <si>
    <t>5609-2</t>
  </si>
  <si>
    <t>5621-1</t>
  </si>
  <si>
    <t>George Ashbrook</t>
  </si>
  <si>
    <t xml:space="preserve"> Cedarwood Avenue</t>
  </si>
  <si>
    <t>600 Series Non-Flip</t>
  </si>
  <si>
    <t>5621-2</t>
  </si>
  <si>
    <t>Binder Clips by OIC</t>
  </si>
  <si>
    <t>5655-1</t>
  </si>
  <si>
    <t>Sam Craven</t>
  </si>
  <si>
    <t xml:space="preserve"> Juniper Lane</t>
  </si>
  <si>
    <t>Apex Straight Scissors</t>
  </si>
  <si>
    <t>5655-2</t>
  </si>
  <si>
    <t>5724-1</t>
  </si>
  <si>
    <t>Todd Boyes</t>
  </si>
  <si>
    <t xml:space="preserve"> Magnolia Court</t>
  </si>
  <si>
    <t>Multi-Use Personal File Cart and Caster Set, Three Stacking Bins</t>
  </si>
  <si>
    <t>5724-2</t>
  </si>
  <si>
    <t>Smiths Bulldog Clip</t>
  </si>
  <si>
    <t>5762-1</t>
  </si>
  <si>
    <t>Artisan Hi-Liter EverBold Pen Style Fluorescent Highlighters, 4/Pack</t>
  </si>
  <si>
    <t>5762-2</t>
  </si>
  <si>
    <t>5768-1</t>
  </si>
  <si>
    <t>Bill Donatelli</t>
  </si>
  <si>
    <t xml:space="preserve"> Coastal Crescent</t>
  </si>
  <si>
    <t>5768-2</t>
  </si>
  <si>
    <t>Artisan Flip-Chart Easel Binder, Black</t>
  </si>
  <si>
    <t>5804-1</t>
  </si>
  <si>
    <t>Sandra Glassco</t>
  </si>
  <si>
    <t xml:space="preserve"> Coastal Highway</t>
  </si>
  <si>
    <t>Artisan Durable Poly Binders</t>
  </si>
  <si>
    <t>5804-2</t>
  </si>
  <si>
    <t>Artisan Hi-Liter Pen Style Six-Color Fluorescent Set</t>
  </si>
  <si>
    <t>5869-1</t>
  </si>
  <si>
    <t>Peter McVee</t>
  </si>
  <si>
    <t xml:space="preserve"> Sandy Bay Street</t>
  </si>
  <si>
    <t>Bagged Rubber Bands</t>
  </si>
  <si>
    <t>5869-2</t>
  </si>
  <si>
    <t>DrawIt Pizazz Watercolor Pencils, 10-Color Set with Brush</t>
  </si>
  <si>
    <t>5887-1</t>
  </si>
  <si>
    <t>Bill Stewart</t>
  </si>
  <si>
    <t xml:space="preserve"> Cedarwood Road</t>
  </si>
  <si>
    <t>Apex Box Cutter Scissors</t>
  </si>
  <si>
    <t>5887-2</t>
  </si>
  <si>
    <t>Artisan Hanging File Binders</t>
  </si>
  <si>
    <t>5943-1</t>
  </si>
  <si>
    <t>Denise Monton</t>
  </si>
  <si>
    <t xml:space="preserve"> Maple Street</t>
  </si>
  <si>
    <t>12 Colored Short Pencils</t>
  </si>
  <si>
    <t>5943-2</t>
  </si>
  <si>
    <t>TechSavi Cordless Navigator Duo</t>
  </si>
  <si>
    <t>5990-1</t>
  </si>
  <si>
    <t>Annie Thurman</t>
  </si>
  <si>
    <t xml:space="preserve"> Aspen Lane</t>
  </si>
  <si>
    <t>Adams "While You Were Out" Message Pads</t>
  </si>
  <si>
    <t>5990-2</t>
  </si>
  <si>
    <t>Barrel Sharpener</t>
  </si>
  <si>
    <t>5997-1</t>
  </si>
  <si>
    <t>Michael Oakman</t>
  </si>
  <si>
    <t xml:space="preserve"> Oakhill Drive</t>
  </si>
  <si>
    <t>5997-2</t>
  </si>
  <si>
    <t>PastelOcean Color Pencil Set</t>
  </si>
  <si>
    <t>6014-1</t>
  </si>
  <si>
    <t>Nora Price</t>
  </si>
  <si>
    <t xml:space="preserve"> Sycamore Lane</t>
  </si>
  <si>
    <t>Alto 3-Hole Punch</t>
  </si>
  <si>
    <t>6014-2</t>
  </si>
  <si>
    <t>Apex Forged Steel Scissors with Black Enamel Handles</t>
  </si>
  <si>
    <t>6091-1</t>
  </si>
  <si>
    <t>Lisa DeCherney</t>
  </si>
  <si>
    <t xml:space="preserve"> Cedar Lane</t>
  </si>
  <si>
    <t>6091-2</t>
  </si>
  <si>
    <t>Wirebound Message Book, 4 per Page</t>
  </si>
  <si>
    <t>6104-1</t>
  </si>
  <si>
    <t>Bobby Trafton</t>
  </si>
  <si>
    <t xml:space="preserve"> Oceanic Drive</t>
  </si>
  <si>
    <t>6104-2</t>
  </si>
  <si>
    <t>Steady Colorific Colored Pencils, 12/Box</t>
  </si>
  <si>
    <t>6143-1</t>
  </si>
  <si>
    <t>Patrick OBrill</t>
  </si>
  <si>
    <t xml:space="preserve"> Palm Street</t>
  </si>
  <si>
    <t>6143-2</t>
  </si>
  <si>
    <t>6159-1</t>
  </si>
  <si>
    <t>Matt Collister</t>
  </si>
  <si>
    <t xml:space="preserve"> Birch Lane</t>
  </si>
  <si>
    <t>6159-2</t>
  </si>
  <si>
    <t>Artisan 487 Labels</t>
  </si>
  <si>
    <t>DrawIt Colored Pencils</t>
  </si>
  <si>
    <t>6197-1</t>
  </si>
  <si>
    <t>Alejandro Ballentine</t>
  </si>
  <si>
    <t xml:space="preserve"> Birch Drive</t>
  </si>
  <si>
    <t>Lumi Crayons</t>
  </si>
  <si>
    <t>6197-2</t>
  </si>
  <si>
    <t>Pizazz Colored Pencils</t>
  </si>
  <si>
    <t>6266-1</t>
  </si>
  <si>
    <t>Don Weiss</t>
  </si>
  <si>
    <t xml:space="preserve"> Maple Court</t>
  </si>
  <si>
    <t>3Max Polarizing Task Lamp with Clamp Arm, Light Gray</t>
  </si>
  <si>
    <t>Furniture</t>
  </si>
  <si>
    <t>6266-2</t>
  </si>
  <si>
    <t>6278-1</t>
  </si>
  <si>
    <t>Sally Knutson</t>
  </si>
  <si>
    <t xml:space="preserve"> Elmwood Drive</t>
  </si>
  <si>
    <t>6278-2</t>
  </si>
  <si>
    <t>Beekin 6 Outlet Metallic Surge Strip</t>
  </si>
  <si>
    <t>6280-1</t>
  </si>
  <si>
    <t>Greg Hansen</t>
  </si>
  <si>
    <t xml:space="preserve"> Pine Street</t>
  </si>
  <si>
    <t>Aluminum Document Frame</t>
  </si>
  <si>
    <t>6280-2</t>
  </si>
  <si>
    <t>6324-1</t>
  </si>
  <si>
    <t>Vivek Grady</t>
  </si>
  <si>
    <t xml:space="preserve"> Oak Street</t>
  </si>
  <si>
    <t>6325-1</t>
  </si>
  <si>
    <t>Edward Nazzal</t>
  </si>
  <si>
    <t xml:space="preserve"> Coral Springs Avenue</t>
  </si>
  <si>
    <t>Adesso Programmable 142-Key Keyboard</t>
  </si>
  <si>
    <t>6325-2</t>
  </si>
  <si>
    <t>Laser DVD-RAM discs</t>
  </si>
  <si>
    <t>6328-1</t>
  </si>
  <si>
    <t>OIC Thumb-Tacks</t>
  </si>
  <si>
    <t>6336-1</t>
  </si>
  <si>
    <t>Harold Dahlen</t>
  </si>
  <si>
    <t xml:space="preserve"> Coral Springs Street</t>
  </si>
  <si>
    <t>Pizazz Drawing Pencil Set</t>
  </si>
  <si>
    <t>6336-2</t>
  </si>
  <si>
    <t>6384-1</t>
  </si>
  <si>
    <t>Jasper Cacioppo</t>
  </si>
  <si>
    <t xml:space="preserve"> Walnut Lane</t>
  </si>
  <si>
    <t>6384-2</t>
  </si>
  <si>
    <t>6403-1</t>
  </si>
  <si>
    <t>6403-2</t>
  </si>
  <si>
    <t>6417-1</t>
  </si>
  <si>
    <t>Christopher Martinez</t>
  </si>
  <si>
    <t xml:space="preserve"> Magnolia Street</t>
  </si>
  <si>
    <t>6417-2</t>
  </si>
  <si>
    <t>TechSavi Cordless Access Keyboard</t>
  </si>
  <si>
    <t>6457-1</t>
  </si>
  <si>
    <t>UGen Ultra Cordless Optical Suite</t>
  </si>
  <si>
    <t>6457-2</t>
  </si>
  <si>
    <t>6515-1</t>
  </si>
  <si>
    <t>Erica Hernandez</t>
  </si>
  <si>
    <t xml:space="preserve"> Cedar Avenue</t>
  </si>
  <si>
    <t>Nicholas Fernandes</t>
  </si>
  <si>
    <t>Alto Parchment Paper, Assorted Colors</t>
  </si>
  <si>
    <t>6515-2</t>
  </si>
  <si>
    <t>5014-1</t>
  </si>
  <si>
    <t>5016-1</t>
  </si>
  <si>
    <t>Alex Russell</t>
  </si>
  <si>
    <t xml:space="preserve"> Pine Ridge Road</t>
  </si>
  <si>
    <t>5018-1</t>
  </si>
  <si>
    <t>Tamara Dahlen</t>
  </si>
  <si>
    <t xml:space="preserve"> Oak Lane</t>
  </si>
  <si>
    <t>Leighton Forrest</t>
  </si>
  <si>
    <t>Message Book, One Form per Page</t>
  </si>
  <si>
    <t>5019-1</t>
  </si>
  <si>
    <t>Susan Vittorini</t>
  </si>
  <si>
    <t xml:space="preserve"> Ocean Avenue</t>
  </si>
  <si>
    <t>Cando S750 Color Inkjet Printer</t>
  </si>
  <si>
    <t>5020-1</t>
  </si>
  <si>
    <t>Muhammed Yedwab</t>
  </si>
  <si>
    <t xml:space="preserve"> Ocean Drive</t>
  </si>
  <si>
    <t>Steady EarthWrite Recycled Pencils, Medium Soft, #2</t>
  </si>
  <si>
    <t>5022-1</t>
  </si>
  <si>
    <t>Artisan Reinforcements for Hole-Punch Pages</t>
  </si>
  <si>
    <t>5023-1</t>
  </si>
  <si>
    <t>Olvera Toch</t>
  </si>
  <si>
    <t xml:space="preserve"> Seaview Close</t>
  </si>
  <si>
    <t>5024-1</t>
  </si>
  <si>
    <t>Sean Wendt</t>
  </si>
  <si>
    <t xml:space="preserve"> Seaview Lane</t>
  </si>
  <si>
    <t>Multimedia Mailers</t>
  </si>
  <si>
    <t>5025-1</t>
  </si>
  <si>
    <t>Rick Reed</t>
  </si>
  <si>
    <t xml:space="preserve"> Maple Avenue</t>
  </si>
  <si>
    <t>Pizazz Dustless Chalk Sticks</t>
  </si>
  <si>
    <t>5027-1</t>
  </si>
  <si>
    <t>Toby Swindell</t>
  </si>
  <si>
    <t xml:space="preserve"> Cedar Court</t>
  </si>
  <si>
    <t>TypeRight Side-Opening Peel &amp; Seel Expanding Envelopes</t>
  </si>
  <si>
    <t>5029-1</t>
  </si>
  <si>
    <t>Giulietta Weimer</t>
  </si>
  <si>
    <t xml:space="preserve"> Elm Drive</t>
  </si>
  <si>
    <t>5030-1</t>
  </si>
  <si>
    <t>5031-1</t>
  </si>
  <si>
    <t>Paul Prost</t>
  </si>
  <si>
    <t xml:space="preserve"> Birch Street</t>
  </si>
  <si>
    <t>Security-Tint Envelopes</t>
  </si>
  <si>
    <t>5033-1</t>
  </si>
  <si>
    <t>Katherine Ducich</t>
  </si>
  <si>
    <t xml:space="preserve"> Maplewood Drive</t>
  </si>
  <si>
    <t>5034-1</t>
  </si>
  <si>
    <t>Natalie Webber</t>
  </si>
  <si>
    <t xml:space="preserve"> Pinehurst Avenue</t>
  </si>
  <si>
    <t>Artisan Arch Ring Binders</t>
  </si>
  <si>
    <t>5036-1</t>
  </si>
  <si>
    <t>Sean ODonnell</t>
  </si>
  <si>
    <t xml:space="preserve"> Beachfront Terrace</t>
  </si>
  <si>
    <t>5037-1</t>
  </si>
  <si>
    <t>Art Foster</t>
  </si>
  <si>
    <t xml:space="preserve"> Coastal View Road</t>
  </si>
  <si>
    <t>Stevie Bacata</t>
  </si>
  <si>
    <t>Apex Elite Stainless Steel Scissors</t>
  </si>
  <si>
    <t>5038-1</t>
  </si>
  <si>
    <t>Darren Powers</t>
  </si>
  <si>
    <t xml:space="preserve"> Coral Reef Boulevard</t>
  </si>
  <si>
    <t>5039-1</t>
  </si>
  <si>
    <t>Michael Grace</t>
  </si>
  <si>
    <t xml:space="preserve"> Islander Road</t>
  </si>
  <si>
    <t>5040-1</t>
  </si>
  <si>
    <t>Christina Vanderzanden</t>
  </si>
  <si>
    <t xml:space="preserve"> Sycamore Road</t>
  </si>
  <si>
    <t>5042-1</t>
  </si>
  <si>
    <t>Thais Sissman</t>
  </si>
  <si>
    <t xml:space="preserve"> Cedarhurst Street</t>
  </si>
  <si>
    <t>5043-1</t>
  </si>
  <si>
    <t>Aaron Smayling</t>
  </si>
  <si>
    <t xml:space="preserve"> Oakwood Drive</t>
  </si>
  <si>
    <t>Smiths Gold Paper Clips</t>
  </si>
  <si>
    <t>5045-1</t>
  </si>
  <si>
    <t>Mick Brown</t>
  </si>
  <si>
    <t xml:space="preserve"> Elmwood Street</t>
  </si>
  <si>
    <t>UGen RF Keyboard</t>
  </si>
  <si>
    <t>5047-1</t>
  </si>
  <si>
    <t>Edward Becker</t>
  </si>
  <si>
    <t xml:space="preserve"> Pinecrest Avenue</t>
  </si>
  <si>
    <t>5048-1</t>
  </si>
  <si>
    <t>Erica Smith</t>
  </si>
  <si>
    <t xml:space="preserve"> Harbourfront Place</t>
  </si>
  <si>
    <t>Smiths Standard Envelopes</t>
  </si>
  <si>
    <t>5049-1</t>
  </si>
  <si>
    <t>Justin Knight</t>
  </si>
  <si>
    <t xml:space="preserve"> Harbourfront Road</t>
  </si>
  <si>
    <t>5050-1</t>
  </si>
  <si>
    <t>Craig Carroll</t>
  </si>
  <si>
    <t xml:space="preserve"> Seaside Street</t>
  </si>
  <si>
    <t>5052-1</t>
  </si>
  <si>
    <t>Laura Armstrong</t>
  </si>
  <si>
    <t xml:space="preserve"> Seaview Street</t>
  </si>
  <si>
    <t>5053-1</t>
  </si>
  <si>
    <t>Thomas Boland</t>
  </si>
  <si>
    <t xml:space="preserve"> Magnolia Drive</t>
  </si>
  <si>
    <t>5055-1</t>
  </si>
  <si>
    <t>Noah Childs</t>
  </si>
  <si>
    <t xml:space="preserve"> Willow Lane</t>
  </si>
  <si>
    <t>Smiths Premium Bright 1-Part Blank Computer Paper</t>
  </si>
  <si>
    <t>5057-1</t>
  </si>
  <si>
    <t>Rob Haberlin</t>
  </si>
  <si>
    <t xml:space="preserve"> Cedar Ridge Lane</t>
  </si>
  <si>
    <t>Artisan 479 Labels</t>
  </si>
  <si>
    <t>5059-1</t>
  </si>
  <si>
    <t>Barry Weirich</t>
  </si>
  <si>
    <t xml:space="preserve"> Birchwood Terrace</t>
  </si>
  <si>
    <t>Charlie Bui</t>
  </si>
  <si>
    <t>5060-1</t>
  </si>
  <si>
    <t>Kelly Williams</t>
  </si>
  <si>
    <t xml:space="preserve"> Maplewood Road</t>
  </si>
  <si>
    <t>5061-1</t>
  </si>
  <si>
    <t>Jack OBriant</t>
  </si>
  <si>
    <t xml:space="preserve"> Pinewood Lane</t>
  </si>
  <si>
    <t>5062-1</t>
  </si>
  <si>
    <t>Pamela Stobb</t>
  </si>
  <si>
    <t xml:space="preserve"> Coral Reef Drive</t>
  </si>
  <si>
    <t>TechSavi Access Keyboard</t>
  </si>
  <si>
    <t>5063-1</t>
  </si>
  <si>
    <t>William Brown</t>
  </si>
  <si>
    <t xml:space="preserve"> Coral Springs Road</t>
  </si>
  <si>
    <t>Smiths SlimLine Pencil Sharpener</t>
  </si>
  <si>
    <t>5064-1</t>
  </si>
  <si>
    <t>Nat Carroll</t>
  </si>
  <si>
    <t xml:space="preserve"> Oceanfront Parade</t>
  </si>
  <si>
    <t>Artisan Premier Heavy-Duty Binder with Round Locking Rings</t>
  </si>
  <si>
    <t>5066-1</t>
  </si>
  <si>
    <t>Troy Staebel</t>
  </si>
  <si>
    <t xml:space="preserve"> Oakdale Street</t>
  </si>
  <si>
    <t>5068-1</t>
  </si>
  <si>
    <t>Dario Medina</t>
  </si>
  <si>
    <t xml:space="preserve"> Sycamore Boulevard</t>
  </si>
  <si>
    <t>5070-1</t>
  </si>
  <si>
    <t>Lynn Smith</t>
  </si>
  <si>
    <t xml:space="preserve"> Elm Street</t>
  </si>
  <si>
    <t>5075-1</t>
  </si>
  <si>
    <t>Dave Kipp</t>
  </si>
  <si>
    <t xml:space="preserve"> Magnolia Lane</t>
  </si>
  <si>
    <t>5077-1</t>
  </si>
  <si>
    <t>Grant Carroll</t>
  </si>
  <si>
    <t xml:space="preserve"> Cedar Street</t>
  </si>
  <si>
    <t>5079-1</t>
  </si>
  <si>
    <t>Liz Pelletier</t>
  </si>
  <si>
    <t xml:space="preserve"> Beach Boulevard</t>
  </si>
  <si>
    <t>5081-1</t>
  </si>
  <si>
    <t>Thea Hudgings</t>
  </si>
  <si>
    <t xml:space="preserve"> Coral Cove Road</t>
  </si>
  <si>
    <t>5083-1</t>
  </si>
  <si>
    <t>5084-1</t>
  </si>
  <si>
    <t>5086-1</t>
  </si>
  <si>
    <t>Eudokia Martin</t>
  </si>
  <si>
    <t xml:space="preserve"> Coral Gardens Road</t>
  </si>
  <si>
    <t>5087-1</t>
  </si>
  <si>
    <t>Scot Wooten</t>
  </si>
  <si>
    <t xml:space="preserve"> Oceanic Street</t>
  </si>
  <si>
    <t>DrawIt Colored Pencils, 48-Color Set</t>
  </si>
  <si>
    <t>5089-1</t>
  </si>
  <si>
    <t>Jenna Caffey</t>
  </si>
  <si>
    <t xml:space="preserve"> Maplewood Boulevard</t>
  </si>
  <si>
    <t>5090-1</t>
  </si>
  <si>
    <t>Roy Collins</t>
  </si>
  <si>
    <t xml:space="preserve"> Magnolia Avenue</t>
  </si>
  <si>
    <t>5091-1</t>
  </si>
  <si>
    <t>Brad Thomas</t>
  </si>
  <si>
    <t xml:space="preserve"> Pinehurst Road</t>
  </si>
  <si>
    <t>210 Trimline Phone, White</t>
  </si>
  <si>
    <t>5093-1</t>
  </si>
  <si>
    <t>Steady Major Accent Highlighters</t>
  </si>
  <si>
    <t>5095-1</t>
  </si>
  <si>
    <t>Roy Skaria</t>
  </si>
  <si>
    <t xml:space="preserve"> Oakwood Avenue</t>
  </si>
  <si>
    <t>5097-1</t>
  </si>
  <si>
    <t>Brad Eason</t>
  </si>
  <si>
    <t xml:space="preserve"> Cedarwood Drive</t>
  </si>
  <si>
    <t>Artisan Legal 4-Ring Binder</t>
  </si>
  <si>
    <t>5099-1</t>
  </si>
  <si>
    <t>5101-1</t>
  </si>
  <si>
    <t>5103-1</t>
  </si>
  <si>
    <t>Andy Reiter</t>
  </si>
  <si>
    <t>5104-1</t>
  </si>
  <si>
    <t>Becky Martin</t>
  </si>
  <si>
    <t xml:space="preserve"> Coral Gardens Avenue</t>
  </si>
  <si>
    <t>Alto Keyboard-In-A-Box</t>
  </si>
  <si>
    <t>5106-1</t>
  </si>
  <si>
    <t>Denny Ordway</t>
  </si>
  <si>
    <t xml:space="preserve"> Seaside Court</t>
  </si>
  <si>
    <t>Artisan 48 Labels</t>
  </si>
  <si>
    <t>5108-1</t>
  </si>
  <si>
    <t>Luke Schmidt</t>
  </si>
  <si>
    <t xml:space="preserve"> Shoreline Drive</t>
  </si>
  <si>
    <t>UGen Ultra Professional Cordless Optical Suite</t>
  </si>
  <si>
    <t>5109-1</t>
  </si>
  <si>
    <t>Kelly Lampkin</t>
  </si>
  <si>
    <t>5111-1</t>
  </si>
  <si>
    <t>Colored Envelopes</t>
  </si>
  <si>
    <t>5112-1</t>
  </si>
  <si>
    <t>Anthony Rawles</t>
  </si>
  <si>
    <t xml:space="preserve"> Pinecrest Drive</t>
  </si>
  <si>
    <t>Xit Blank Computer Paper</t>
  </si>
  <si>
    <t>5113-1</t>
  </si>
  <si>
    <t>Rick Duston</t>
  </si>
  <si>
    <t>Alto Perma 2700 Stacking Storage Drawers</t>
  </si>
  <si>
    <t>5114-1</t>
  </si>
  <si>
    <t>Raymond Fair</t>
  </si>
  <si>
    <t xml:space="preserve"> Cedarwood Boulevard</t>
  </si>
  <si>
    <t>TechSavi Cordless Elite Duo</t>
  </si>
  <si>
    <t>5115-1</t>
  </si>
  <si>
    <t>Joy Smith</t>
  </si>
  <si>
    <t xml:space="preserve"> Pinehurst Drive</t>
  </si>
  <si>
    <t>5117-1</t>
  </si>
  <si>
    <t>Jim Epp</t>
  </si>
  <si>
    <t xml:space="preserve"> Beachside Avenue</t>
  </si>
  <si>
    <t>5119-1</t>
  </si>
  <si>
    <t>Mike Vittorini</t>
  </si>
  <si>
    <t xml:space="preserve"> Harbourview Place</t>
  </si>
  <si>
    <t>Artisan Hi-Liter Fluorescent Desk Style Markers</t>
  </si>
  <si>
    <t>5120-1</t>
  </si>
  <si>
    <t>Neil Knudson</t>
  </si>
  <si>
    <t xml:space="preserve"> Oceanfront Street</t>
  </si>
  <si>
    <t>5122-1</t>
  </si>
  <si>
    <t>Deborah Brumfield</t>
  </si>
  <si>
    <t xml:space="preserve"> Sunset Strip</t>
  </si>
  <si>
    <t>5124-1</t>
  </si>
  <si>
    <t>5125-1</t>
  </si>
  <si>
    <t>Janet Martin</t>
  </si>
  <si>
    <t xml:space="preserve"> Magnolia Road</t>
  </si>
  <si>
    <t>5127-1</t>
  </si>
  <si>
    <t>Beth Thompson</t>
  </si>
  <si>
    <t xml:space="preserve"> Juniper Street</t>
  </si>
  <si>
    <t>Deluxe Rollaway Locking File with Drawer</t>
  </si>
  <si>
    <t>5128-1</t>
  </si>
  <si>
    <t>Nora Paige</t>
  </si>
  <si>
    <t>5129-1</t>
  </si>
  <si>
    <t>Jim Kriz</t>
  </si>
  <si>
    <t xml:space="preserve"> Elmwood Avenue</t>
  </si>
  <si>
    <t>Smiths Colored Interoffice Envelopes</t>
  </si>
  <si>
    <t>5131-1</t>
  </si>
  <si>
    <t>Steve Nguyen</t>
  </si>
  <si>
    <t>5133-1</t>
  </si>
  <si>
    <t>Scott Cohen</t>
  </si>
  <si>
    <t xml:space="preserve"> Pinecrest Road</t>
  </si>
  <si>
    <t>Wirebound Voice Message Log Book</t>
  </si>
  <si>
    <t>5134-1</t>
  </si>
  <si>
    <t>Liz MacKendrick</t>
  </si>
  <si>
    <t xml:space="preserve"> Bayview Drive</t>
  </si>
  <si>
    <t>5135-1</t>
  </si>
  <si>
    <t>5137-1</t>
  </si>
  <si>
    <t>Carlos Meador</t>
  </si>
  <si>
    <t xml:space="preserve"> Harbour Drive</t>
  </si>
  <si>
    <t>5138-1</t>
  </si>
  <si>
    <t>Giulietta Dortch</t>
  </si>
  <si>
    <t xml:space="preserve"> Harbourview Terrace</t>
  </si>
  <si>
    <t>5140-1</t>
  </si>
  <si>
    <t>Paul Lucas</t>
  </si>
  <si>
    <t>5142-1</t>
  </si>
  <si>
    <t>Aleksandra Gannaway</t>
  </si>
  <si>
    <t xml:space="preserve"> Birchwood Lane</t>
  </si>
  <si>
    <t>5144-1</t>
  </si>
  <si>
    <t>5148-1</t>
  </si>
  <si>
    <t>Eugene Hildebrand</t>
  </si>
  <si>
    <t xml:space="preserve"> Cedarwood Terrace</t>
  </si>
  <si>
    <t>Economy Binders</t>
  </si>
  <si>
    <t>5150-1</t>
  </si>
  <si>
    <t>Adam Bellavance</t>
  </si>
  <si>
    <t xml:space="preserve"> Pinecrest Lane</t>
  </si>
  <si>
    <t>HFX 6S Scientific Calculator</t>
  </si>
  <si>
    <t>5152-1</t>
  </si>
  <si>
    <t>Mitch Gastineau</t>
  </si>
  <si>
    <t>5154-1</t>
  </si>
  <si>
    <t>Stuart Calhoun</t>
  </si>
  <si>
    <t xml:space="preserve"> Beachside Terrace</t>
  </si>
  <si>
    <t>5156-1</t>
  </si>
  <si>
    <t>Denise Leinenbach</t>
  </si>
  <si>
    <t xml:space="preserve"> Harbourview Avenue</t>
  </si>
  <si>
    <t>Self-Adhesive Removable Labels</t>
  </si>
  <si>
    <t>5158-1</t>
  </si>
  <si>
    <t>Mitch Webber</t>
  </si>
  <si>
    <t>TypeRight  Top-Opening Peel &amp; Seel Envelopes, Plain White</t>
  </si>
  <si>
    <t>5159-1</t>
  </si>
  <si>
    <t>Sara Luxemburg</t>
  </si>
  <si>
    <t xml:space="preserve"> Oceanic Court</t>
  </si>
  <si>
    <t>5163-1</t>
  </si>
  <si>
    <t>TypeRight  Top-Opening Peel &amp; Seel  Envelopes, Gray</t>
  </si>
  <si>
    <t>5165-1</t>
  </si>
  <si>
    <t>Julie Kriz</t>
  </si>
  <si>
    <t xml:space="preserve"> Maplewood Court</t>
  </si>
  <si>
    <t>Artisan Non-Stick Binders</t>
  </si>
  <si>
    <t>5166-1</t>
  </si>
  <si>
    <t>5171-1</t>
  </si>
  <si>
    <t>George Zrebassa</t>
  </si>
  <si>
    <t xml:space="preserve"> Aspen Drive</t>
  </si>
  <si>
    <t>5173-1</t>
  </si>
  <si>
    <t>5174-1</t>
  </si>
  <si>
    <t>Pauline Webber</t>
  </si>
  <si>
    <t>5175-1</t>
  </si>
  <si>
    <t>Ben Wallace</t>
  </si>
  <si>
    <t>5177-1</t>
  </si>
  <si>
    <t>5178-1</t>
  </si>
  <si>
    <t>Adam Shillingsburg</t>
  </si>
  <si>
    <t>5180-1</t>
  </si>
  <si>
    <t>Rick Hansen</t>
  </si>
  <si>
    <t>5181-1</t>
  </si>
  <si>
    <t>TechSavi Internet Navigator Keyboard</t>
  </si>
  <si>
    <t>5183-1</t>
  </si>
  <si>
    <t>5185-1</t>
  </si>
  <si>
    <t>Karl Brown</t>
  </si>
  <si>
    <t>5186-1</t>
  </si>
  <si>
    <t>Eric Barreto</t>
  </si>
  <si>
    <t xml:space="preserve"> Marina Street</t>
  </si>
  <si>
    <t>5188-1</t>
  </si>
  <si>
    <t>Charles Sheldon</t>
  </si>
  <si>
    <t xml:space="preserve"> Sandy Beach Road</t>
  </si>
  <si>
    <t>5189-1</t>
  </si>
  <si>
    <t>Jesus Ocampo</t>
  </si>
  <si>
    <t>5191-1</t>
  </si>
  <si>
    <t>Fluorescent Highlighters by DrawIt</t>
  </si>
  <si>
    <t>5193-1</t>
  </si>
  <si>
    <t>Nick Zandusky</t>
  </si>
  <si>
    <t xml:space="preserve"> Pine Ridge Lane</t>
  </si>
  <si>
    <t>Artisan 481 Labels</t>
  </si>
  <si>
    <t>5194-1</t>
  </si>
  <si>
    <t>Corinna Mitchell</t>
  </si>
  <si>
    <t xml:space="preserve"> Oakwood Road</t>
  </si>
  <si>
    <t>Emerson C82 Color Inkjet Printer</t>
  </si>
  <si>
    <t>5198-1</t>
  </si>
  <si>
    <t>Chuck Magee</t>
  </si>
  <si>
    <t xml:space="preserve"> Maplewood Street</t>
  </si>
  <si>
    <t>5200-1</t>
  </si>
  <si>
    <t>Seth Vernon</t>
  </si>
  <si>
    <t xml:space="preserve"> Birchwood Avenue</t>
  </si>
  <si>
    <t>5201-1</t>
  </si>
  <si>
    <t>Vivian Mathis</t>
  </si>
  <si>
    <t xml:space="preserve"> Coastal Drive</t>
  </si>
  <si>
    <t>5202-1</t>
  </si>
  <si>
    <t>Harold Ryan</t>
  </si>
  <si>
    <t>5204-1</t>
  </si>
  <si>
    <t>Kean Takahito</t>
  </si>
  <si>
    <t xml:space="preserve"> Seaside Drive</t>
  </si>
  <si>
    <t>Binding Machine Supplies</t>
  </si>
  <si>
    <t>5206-1</t>
  </si>
  <si>
    <t>Tony Sayre</t>
  </si>
  <si>
    <t xml:space="preserve"> Cedarhurst Lane</t>
  </si>
  <si>
    <t>5207-1</t>
  </si>
  <si>
    <t>Aaron Bergman</t>
  </si>
  <si>
    <t>5208-1</t>
  </si>
  <si>
    <t>Edward Hooks</t>
  </si>
  <si>
    <t xml:space="preserve"> Juniper Road</t>
  </si>
  <si>
    <t>Binder Posts</t>
  </si>
  <si>
    <t>5209-1</t>
  </si>
  <si>
    <t>Liz Willingham</t>
  </si>
  <si>
    <t xml:space="preserve"> Pinecrest Street</t>
  </si>
  <si>
    <t>5211-1</t>
  </si>
  <si>
    <t>Dave Poirier</t>
  </si>
  <si>
    <t>5212-1</t>
  </si>
  <si>
    <t>Self-Adhesive Ring Binder Labels</t>
  </si>
  <si>
    <t>5213-1</t>
  </si>
  <si>
    <t>5214-1</t>
  </si>
  <si>
    <t>Valerie Dominguez</t>
  </si>
  <si>
    <t>5215-1</t>
  </si>
  <si>
    <t>Jennifer Patt</t>
  </si>
  <si>
    <t>5216-1</t>
  </si>
  <si>
    <t>Cynthia Arntzen</t>
  </si>
  <si>
    <t>5218-1</t>
  </si>
  <si>
    <t>Bradley Drucker</t>
  </si>
  <si>
    <t xml:space="preserve"> Sandy Bay Boulevard</t>
  </si>
  <si>
    <t>5220-1</t>
  </si>
  <si>
    <t>Skye Norling</t>
  </si>
  <si>
    <t xml:space="preserve"> Sandy Bay Lane</t>
  </si>
  <si>
    <t>5221-1</t>
  </si>
  <si>
    <t>Bruce Degenhardt</t>
  </si>
  <si>
    <t xml:space="preserve"> Seashell Lane</t>
  </si>
  <si>
    <t>5222-1</t>
  </si>
  <si>
    <t>John Castell</t>
  </si>
  <si>
    <t xml:space="preserve"> Birchwood Road</t>
  </si>
  <si>
    <t>5224-1</t>
  </si>
  <si>
    <t>Neil French</t>
  </si>
  <si>
    <t xml:space="preserve"> Oakwood Street</t>
  </si>
  <si>
    <t>5225-1</t>
  </si>
  <si>
    <t>5226-1</t>
  </si>
  <si>
    <t>Nancy Lomonaco</t>
  </si>
  <si>
    <t xml:space="preserve"> Juniper Avenue</t>
  </si>
  <si>
    <t>5227-1</t>
  </si>
  <si>
    <t>5229-1</t>
  </si>
  <si>
    <t>Carol Triggs</t>
  </si>
  <si>
    <t>5231-1</t>
  </si>
  <si>
    <t>Andrew Allen</t>
  </si>
  <si>
    <t>5232-1</t>
  </si>
  <si>
    <t>5234-1</t>
  </si>
  <si>
    <t>Darrin Martin</t>
  </si>
  <si>
    <t xml:space="preserve"> Coral Cove Street</t>
  </si>
  <si>
    <t>5235-1</t>
  </si>
  <si>
    <t>Max Ludwig</t>
  </si>
  <si>
    <t xml:space="preserve"> Harbour Road</t>
  </si>
  <si>
    <t>5236-1</t>
  </si>
  <si>
    <t>Liz Price</t>
  </si>
  <si>
    <t xml:space="preserve"> Cedarwood Lane</t>
  </si>
  <si>
    <t>5238-1</t>
  </si>
  <si>
    <t>Grant Thornton</t>
  </si>
  <si>
    <t xml:space="preserve"> Spruce Lane</t>
  </si>
  <si>
    <t>5239-1</t>
  </si>
  <si>
    <t>Victoria Brennan</t>
  </si>
  <si>
    <t xml:space="preserve"> Maplewood Avenue</t>
  </si>
  <si>
    <t>5240-1</t>
  </si>
  <si>
    <t>Sarah Brown</t>
  </si>
  <si>
    <t xml:space="preserve"> Sycamore Drive</t>
  </si>
  <si>
    <t>5241-1</t>
  </si>
  <si>
    <t>Michael Granlund</t>
  </si>
  <si>
    <t>5242-1</t>
  </si>
  <si>
    <t>Apex Preferred Stainless Steel Scissors</t>
  </si>
  <si>
    <t>5244-1</t>
  </si>
  <si>
    <t>Marina Lichtenstein</t>
  </si>
  <si>
    <t>5246-1</t>
  </si>
  <si>
    <t>Fred Wasserman</t>
  </si>
  <si>
    <t xml:space="preserve"> Harbourfront Street</t>
  </si>
  <si>
    <t>5247-1</t>
  </si>
  <si>
    <t>Ann Chong</t>
  </si>
  <si>
    <t xml:space="preserve"> Harbourview Street</t>
  </si>
  <si>
    <t>5248-1</t>
  </si>
  <si>
    <t>Mick Crebagga</t>
  </si>
  <si>
    <t xml:space="preserve"> Lighthouse Road</t>
  </si>
  <si>
    <t>5250-1</t>
  </si>
  <si>
    <t>Chloris Kastensmidt</t>
  </si>
  <si>
    <t xml:space="preserve"> Cedarwood Court</t>
  </si>
  <si>
    <t>5251-1</t>
  </si>
  <si>
    <t>5253-1</t>
  </si>
  <si>
    <t>Maribeth Dona</t>
  </si>
  <si>
    <t>5254-1</t>
  </si>
  <si>
    <t>5256-1</t>
  </si>
  <si>
    <t>Cynthia Delaney</t>
  </si>
  <si>
    <t xml:space="preserve"> Pinehurst Lane</t>
  </si>
  <si>
    <t>5257-1</t>
  </si>
  <si>
    <t>John Dryer</t>
  </si>
  <si>
    <t xml:space="preserve"> Sycamore Street</t>
  </si>
  <si>
    <t>5259-1</t>
  </si>
  <si>
    <t>5260-1</t>
  </si>
  <si>
    <t>Carlos Daly</t>
  </si>
  <si>
    <t xml:space="preserve"> Oakwood Place</t>
  </si>
  <si>
    <t>5261-1</t>
  </si>
  <si>
    <t>Joni Wasserman</t>
  </si>
  <si>
    <t xml:space="preserve"> Coastal Street</t>
  </si>
  <si>
    <t>600 Series Flip</t>
  </si>
  <si>
    <t>5263-1</t>
  </si>
  <si>
    <t>5265-1</t>
  </si>
  <si>
    <t>5267-1</t>
  </si>
  <si>
    <t>Frank Merwin</t>
  </si>
  <si>
    <t>5272-1</t>
  </si>
  <si>
    <t>Amy Cox</t>
  </si>
  <si>
    <t>5277-1</t>
  </si>
  <si>
    <t>Paul MacIntyre</t>
  </si>
  <si>
    <t xml:space="preserve"> Cedarhurst Drive</t>
  </si>
  <si>
    <t>5278-1</t>
  </si>
  <si>
    <t>Cindy Stewart</t>
  </si>
  <si>
    <t xml:space="preserve"> Sycamore Avenue</t>
  </si>
  <si>
    <t>5279-1</t>
  </si>
  <si>
    <t>Tamara Willingham</t>
  </si>
  <si>
    <t>5280-1</t>
  </si>
  <si>
    <t>Darrin Sayre</t>
  </si>
  <si>
    <t>5282-1</t>
  </si>
  <si>
    <t>5284-1</t>
  </si>
  <si>
    <t>Ed Jacobs</t>
  </si>
  <si>
    <t>5286-1</t>
  </si>
  <si>
    <t>Dan Campbell</t>
  </si>
  <si>
    <t xml:space="preserve"> Pinehurst Boulevard</t>
  </si>
  <si>
    <t>Brown Kraft Recycled Envelopes</t>
  </si>
  <si>
    <t>5288-1</t>
  </si>
  <si>
    <t>Shahid Shariari</t>
  </si>
  <si>
    <t xml:space="preserve"> Coral Springs Terrace</t>
  </si>
  <si>
    <t>5290-1</t>
  </si>
  <si>
    <t>Toby Knight</t>
  </si>
  <si>
    <t>5291-1</t>
  </si>
  <si>
    <t>Steady 52201 APSCO Electric Pencil Sharpener</t>
  </si>
  <si>
    <t>5292-1</t>
  </si>
  <si>
    <t>Sung Chung</t>
  </si>
  <si>
    <t xml:space="preserve"> Surfside Lane</t>
  </si>
  <si>
    <t>5294-1</t>
  </si>
  <si>
    <t>Kristina Nunn</t>
  </si>
  <si>
    <t xml:space="preserve"> Coastal Avenue</t>
  </si>
  <si>
    <t>5296-1</t>
  </si>
  <si>
    <t>5298-1</t>
  </si>
  <si>
    <t>Jeremy Lonsdale</t>
  </si>
  <si>
    <t xml:space="preserve"> Cedar Ridge Avenue</t>
  </si>
  <si>
    <t>5299-1</t>
  </si>
  <si>
    <t>Victoria Pisteka</t>
  </si>
  <si>
    <t xml:space="preserve"> Elmwood Lane</t>
  </si>
  <si>
    <t>5300-1</t>
  </si>
  <si>
    <t>Liz Carlisle</t>
  </si>
  <si>
    <t>5302-1</t>
  </si>
  <si>
    <t>Dennis Kane</t>
  </si>
  <si>
    <t>5303-1</t>
  </si>
  <si>
    <t>Tom Prescott</t>
  </si>
  <si>
    <t>5304-1</t>
  </si>
  <si>
    <t>Jas OCarroll</t>
  </si>
  <si>
    <t xml:space="preserve"> Bayshore Avenue</t>
  </si>
  <si>
    <t>5305-1</t>
  </si>
  <si>
    <t>5307-1</t>
  </si>
  <si>
    <t>5309-1</t>
  </si>
  <si>
    <t>Peter Fuller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</si>
  <si>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</si>
  <si>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</si>
  <si>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</si>
  <si>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</si>
  <si>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</si>
  <si>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</si>
  <si>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</si>
  <si>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</si>
  <si>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</si>
  <si>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</si>
  <si>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5315-1</t>
  </si>
  <si>
    <t>5316-1</t>
  </si>
  <si>
    <t>5318-1</t>
  </si>
  <si>
    <t>5319-1</t>
  </si>
  <si>
    <t>Justin Hirsh</t>
  </si>
  <si>
    <t>3Max Polarizing Light Filter Sleeves</t>
  </si>
  <si>
    <t>5321-1</t>
  </si>
  <si>
    <t>Sarah Foster</t>
  </si>
  <si>
    <t xml:space="preserve"> Harbourview Road</t>
  </si>
  <si>
    <t>5323-1</t>
  </si>
  <si>
    <t>Tanja Norvell</t>
  </si>
  <si>
    <t xml:space="preserve"> Sandy Bay Drive</t>
  </si>
  <si>
    <t>5324-1</t>
  </si>
  <si>
    <t>Maya Herman</t>
  </si>
  <si>
    <t xml:space="preserve"> Sunset Drive</t>
  </si>
  <si>
    <t>5326-1</t>
  </si>
  <si>
    <t>Trudy Brown</t>
  </si>
  <si>
    <t xml:space="preserve"> Cedar Ridge Drive</t>
  </si>
  <si>
    <t>5328-1</t>
  </si>
  <si>
    <t>Gary Hwang</t>
  </si>
  <si>
    <t xml:space="preserve"> Birchwood Boulevard</t>
  </si>
  <si>
    <t>5330-1</t>
  </si>
  <si>
    <t>Larry Tron</t>
  </si>
  <si>
    <t>Steady Pocket Accent Highlighters</t>
  </si>
  <si>
    <t>5332-1</t>
  </si>
  <si>
    <t>5334-1</t>
  </si>
  <si>
    <t>5336-1</t>
  </si>
  <si>
    <t>5340-1</t>
  </si>
  <si>
    <t>Joseph Airdo</t>
  </si>
  <si>
    <t>Artisan Binding System Hidden Tab Executive Style Index Sets</t>
  </si>
  <si>
    <t>5342-1</t>
  </si>
  <si>
    <t>Ben Peterman</t>
  </si>
  <si>
    <t>Artisan Hi-Liter GlideStik Fluorescent Highlighter, Yellow Ink</t>
  </si>
  <si>
    <t>5343-1</t>
  </si>
  <si>
    <t>Henry Goldwyn</t>
  </si>
  <si>
    <t xml:space="preserve"> Seaside Road</t>
  </si>
  <si>
    <t>5345-1</t>
  </si>
  <si>
    <t>Tony Molinari</t>
  </si>
  <si>
    <t xml:space="preserve"> Sunset Avenue</t>
  </si>
  <si>
    <t>5346-1</t>
  </si>
  <si>
    <t>5347-1</t>
  </si>
  <si>
    <t>Brian Dahlen</t>
  </si>
  <si>
    <t xml:space="preserve"> Pinecrest Terrace</t>
  </si>
  <si>
    <t>5349-1</t>
  </si>
  <si>
    <t>Don Miller</t>
  </si>
  <si>
    <t xml:space="preserve"> Elmwood Court</t>
  </si>
  <si>
    <t>Artisan 478 Labels</t>
  </si>
  <si>
    <t>5350-1</t>
  </si>
  <si>
    <t>5352-1</t>
  </si>
  <si>
    <t>5354-1</t>
  </si>
  <si>
    <t>5355-1</t>
  </si>
  <si>
    <t>Duane Huffman</t>
  </si>
  <si>
    <t xml:space="preserve"> Maplewood Terrace</t>
  </si>
  <si>
    <t>5357-1</t>
  </si>
  <si>
    <t>5360-1</t>
  </si>
  <si>
    <t>Philip Fox</t>
  </si>
  <si>
    <t>5362-1</t>
  </si>
  <si>
    <t>Charlotte Melton</t>
  </si>
  <si>
    <t>5364-1</t>
  </si>
  <si>
    <t>Dionis Lloyd</t>
  </si>
  <si>
    <t>5365-1</t>
  </si>
  <si>
    <t>5369-1</t>
  </si>
  <si>
    <t>5373-1</t>
  </si>
  <si>
    <t>Ashley Jarboe</t>
  </si>
  <si>
    <t xml:space="preserve"> Coral Cove Crescent</t>
  </si>
  <si>
    <t>5375-1</t>
  </si>
  <si>
    <t>Nat Gilpin</t>
  </si>
  <si>
    <t>5377-1</t>
  </si>
  <si>
    <t>5379-1</t>
  </si>
  <si>
    <t>5381-1</t>
  </si>
  <si>
    <t>Sanjit Engle</t>
  </si>
  <si>
    <t>Emerson LQ-870 Dot Matrix Printer</t>
  </si>
  <si>
    <t>5383-1</t>
  </si>
  <si>
    <t>5384-1</t>
  </si>
  <si>
    <t>Mark Van Huff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</si>
  <si>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</si>
  <si>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</si>
  <si>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</si>
  <si>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</si>
  <si>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</si>
  <si>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</si>
  <si>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</si>
  <si>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</si>
  <si>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5392-1</t>
  </si>
  <si>
    <t>Ken Lonsdale</t>
  </si>
  <si>
    <t xml:space="preserve"> Seabreeze Boulevard</t>
  </si>
  <si>
    <t>5393-1</t>
  </si>
  <si>
    <t>Michael Nguyen</t>
  </si>
  <si>
    <t>5394-1</t>
  </si>
  <si>
    <t>Hilary Holden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</si>
  <si>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</si>
  <si>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</si>
  <si>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</si>
  <si>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</si>
  <si>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</si>
  <si>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</si>
  <si>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</si>
  <si>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5404-1</t>
  </si>
  <si>
    <t>Susan MacKendrick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</si>
  <si>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</si>
  <si>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</si>
  <si>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</si>
  <si>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</si>
  <si>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</si>
  <si>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</si>
  <si>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</si>
  <si>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 xml:space="preserve"> Oceanic Place</t>
  </si>
  <si>
    <t>5411-1</t>
  </si>
  <si>
    <t>5413-1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</si>
  <si>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</si>
  <si>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</si>
  <si>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</si>
  <si>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</si>
  <si>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</si>
  <si>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</si>
  <si>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</si>
  <si>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5420-1</t>
  </si>
  <si>
    <t>Sanjit Jacobs</t>
  </si>
  <si>
    <t xml:space="preserve"> Cedarwood Street</t>
  </si>
  <si>
    <t>5421-1</t>
  </si>
  <si>
    <t>5423-1</t>
  </si>
  <si>
    <t>Erica Hackney</t>
  </si>
  <si>
    <t>5424-1</t>
  </si>
  <si>
    <t>Chad McGuire</t>
  </si>
  <si>
    <t>5426-1</t>
  </si>
  <si>
    <t>Pauline Chand</t>
  </si>
  <si>
    <t xml:space="preserve"> Coral Springs Lane</t>
  </si>
  <si>
    <t>5428-1</t>
  </si>
  <si>
    <t>Bobby Elias</t>
  </si>
  <si>
    <t>5430-1</t>
  </si>
  <si>
    <t>5432-1</t>
  </si>
  <si>
    <t>Lena Radford</t>
  </si>
  <si>
    <t>5433-1</t>
  </si>
  <si>
    <t>5434-1</t>
  </si>
  <si>
    <t>Delfina Latchford</t>
  </si>
  <si>
    <t xml:space="preserve"> Surf Avenue</t>
  </si>
  <si>
    <t>5435-1</t>
  </si>
  <si>
    <t>Adam Hart</t>
  </si>
  <si>
    <t>5436-1</t>
  </si>
  <si>
    <t>Airmail Envelopes</t>
  </si>
  <si>
    <t>5438-1</t>
  </si>
  <si>
    <t>5439-1</t>
  </si>
  <si>
    <t>5440-1</t>
  </si>
  <si>
    <t>5442-1</t>
  </si>
  <si>
    <t>Troy Blackwell</t>
  </si>
  <si>
    <t xml:space="preserve"> Sycamore Court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</si>
  <si>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</si>
  <si>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</si>
  <si>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</si>
  <si>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</si>
  <si>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</si>
  <si>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</si>
  <si>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</si>
  <si>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</si>
  <si>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</si>
  <si>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</si>
  <si>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</si>
  <si>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</si>
  <si>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</si>
  <si>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</si>
  <si>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</si>
  <si>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</si>
  <si>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</si>
  <si>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</si>
  <si>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</si>
  <si>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5457-1</t>
  </si>
  <si>
    <t>OIC Bulk Pack Metal Binder Clips</t>
  </si>
  <si>
    <t>5458-1</t>
  </si>
  <si>
    <t>5460-1</t>
  </si>
  <si>
    <t>Steve Chapman</t>
  </si>
  <si>
    <t xml:space="preserve"> Oceanfront Lane</t>
  </si>
  <si>
    <t>Artisan Hi-Liter Comfort Grip Fluorescent Highlighter, Yellow Ink</t>
  </si>
  <si>
    <t>5461-1</t>
  </si>
  <si>
    <t>Mike Kennedy</t>
  </si>
  <si>
    <t xml:space="preserve"> Oceanic Road</t>
  </si>
  <si>
    <t>5463-1</t>
  </si>
  <si>
    <t>Emerson Stylus 1520 Color Inkjet Printer</t>
  </si>
  <si>
    <t>5465-1</t>
  </si>
  <si>
    <t>5467-1</t>
  </si>
  <si>
    <t>Brenda Bowman</t>
  </si>
  <si>
    <t>5469-1</t>
  </si>
  <si>
    <t>Xylona Price</t>
  </si>
  <si>
    <t xml:space="preserve"> Magnolia Boulevard</t>
  </si>
  <si>
    <t>5470-1</t>
  </si>
  <si>
    <t>Kelly Collister</t>
  </si>
  <si>
    <t>5471-1</t>
  </si>
  <si>
    <t>Dean Percer</t>
  </si>
  <si>
    <t>5473-1</t>
  </si>
  <si>
    <t>Anemone Ratner</t>
  </si>
  <si>
    <t>5475-1</t>
  </si>
  <si>
    <t>Brian Stugart</t>
  </si>
  <si>
    <t xml:space="preserve"> Bayview Crescent</t>
  </si>
  <si>
    <t>24 Capacity Maxi Data Binder Racks, Pearl</t>
  </si>
  <si>
    <t>5476-1</t>
  </si>
  <si>
    <t>Michelle Tran</t>
  </si>
  <si>
    <t xml:space="preserve"> Magnolia Terrace</t>
  </si>
  <si>
    <t>5477-1</t>
  </si>
  <si>
    <t>Vivek Sundaresam</t>
  </si>
  <si>
    <t>5478-1</t>
  </si>
  <si>
    <t>5483-1</t>
  </si>
  <si>
    <t>Ritsa Hightower</t>
  </si>
  <si>
    <t>5485-1</t>
  </si>
  <si>
    <t>Michelle Moray</t>
  </si>
  <si>
    <t>5487-1</t>
  </si>
  <si>
    <t>Jim Radford</t>
  </si>
  <si>
    <t xml:space="preserve"> Pine Ridge Avenue</t>
  </si>
  <si>
    <t>5489-1</t>
  </si>
  <si>
    <t>5491-1</t>
  </si>
  <si>
    <t>5493-1</t>
  </si>
  <si>
    <t>5494-1</t>
  </si>
  <si>
    <t>5496-1</t>
  </si>
  <si>
    <t>Richard Eichhorn</t>
  </si>
  <si>
    <t>5497-1</t>
  </si>
  <si>
    <t>Juliana Krohn</t>
  </si>
  <si>
    <t xml:space="preserve"> Sandcastle Place</t>
  </si>
  <si>
    <t>5498-1</t>
  </si>
  <si>
    <t>Clytie Kelty</t>
  </si>
  <si>
    <t xml:space="preserve"> Harbour Street</t>
  </si>
  <si>
    <t>5500-1</t>
  </si>
  <si>
    <t>Ken Dana</t>
  </si>
  <si>
    <t>5502-1</t>
  </si>
  <si>
    <t>Andy Yotov</t>
  </si>
  <si>
    <t>5504-1</t>
  </si>
  <si>
    <t>Melanie Page</t>
  </si>
  <si>
    <t>5505-1</t>
  </si>
  <si>
    <t>Arthur Gainer</t>
  </si>
  <si>
    <t>5506-1</t>
  </si>
  <si>
    <t>Creator Anti Dust Chalk, 12/Pack</t>
  </si>
  <si>
    <t>5507-1</t>
  </si>
  <si>
    <t>5508-1</t>
  </si>
  <si>
    <t>5510-1</t>
  </si>
  <si>
    <t>Dianna Wilson</t>
  </si>
  <si>
    <t>5512-1</t>
  </si>
  <si>
    <t>Lindsay Castell</t>
  </si>
  <si>
    <t xml:space="preserve"> Coral Cove Lane</t>
  </si>
  <si>
    <t>5513-1</t>
  </si>
  <si>
    <t>Chuck Sachs</t>
  </si>
  <si>
    <t>5514-1</t>
  </si>
  <si>
    <t>John Lee</t>
  </si>
  <si>
    <t xml:space="preserve"> Pine Lane</t>
  </si>
  <si>
    <t>5516-1</t>
  </si>
  <si>
    <t>5518-1</t>
  </si>
  <si>
    <t>Fred Chung</t>
  </si>
  <si>
    <t xml:space="preserve"> Sycamore Place</t>
  </si>
  <si>
    <t>5520-1</t>
  </si>
  <si>
    <t>5521-1</t>
  </si>
  <si>
    <t>5523-1</t>
  </si>
  <si>
    <t>5525-1</t>
  </si>
  <si>
    <t>5526-1</t>
  </si>
  <si>
    <t>Barry Pond</t>
  </si>
  <si>
    <t xml:space="preserve"> Walnut Street</t>
  </si>
  <si>
    <t>5527-1</t>
  </si>
  <si>
    <t>Jim Mitchum</t>
  </si>
  <si>
    <t xml:space="preserve"> Cedarwood Place</t>
  </si>
  <si>
    <t>5529-1</t>
  </si>
  <si>
    <t>5531-1</t>
  </si>
  <si>
    <t>Luke Weiss</t>
  </si>
  <si>
    <t>5533-1</t>
  </si>
  <si>
    <t>Craig Leslie</t>
  </si>
  <si>
    <t>5534-1</t>
  </si>
  <si>
    <t>Frank Hawley</t>
  </si>
  <si>
    <t xml:space="preserve"> Coral Cove Boulevard</t>
  </si>
  <si>
    <t>Artisan 474 Labels</t>
  </si>
  <si>
    <t>5536-1</t>
  </si>
  <si>
    <t>5537-1</t>
  </si>
  <si>
    <t>5541-1</t>
  </si>
  <si>
    <t>Christine Abelman</t>
  </si>
  <si>
    <t xml:space="preserve"> Coral Reef Avenue</t>
  </si>
  <si>
    <t>5544-1</t>
  </si>
  <si>
    <t>5546-1</t>
  </si>
  <si>
    <t>Monica Federle</t>
  </si>
  <si>
    <t>5547-1</t>
  </si>
  <si>
    <t>Mike Gockenbach</t>
  </si>
  <si>
    <t>5548-1</t>
  </si>
  <si>
    <t>James Galang</t>
  </si>
  <si>
    <t>Artisan File Folder Labels</t>
  </si>
  <si>
    <t>5549-1</t>
  </si>
  <si>
    <t>5071-3</t>
  </si>
  <si>
    <t>5071-4</t>
  </si>
  <si>
    <t>5145-3</t>
  </si>
  <si>
    <t>5145-4</t>
  </si>
  <si>
    <t>5160-3</t>
  </si>
  <si>
    <t>1727 Digital Answering Machine</t>
  </si>
  <si>
    <t>5160-4</t>
  </si>
  <si>
    <t>5168-3</t>
  </si>
  <si>
    <t>5168-4</t>
  </si>
  <si>
    <t>5195-3</t>
  </si>
  <si>
    <t>5195-4</t>
  </si>
  <si>
    <t>5268-2</t>
  </si>
  <si>
    <t>5274-3</t>
  </si>
  <si>
    <t>301 Series Non-Flip</t>
  </si>
  <si>
    <t>5274-4</t>
  </si>
  <si>
    <t>5335-3</t>
  </si>
  <si>
    <t>5335-4</t>
  </si>
  <si>
    <t>5358-3</t>
  </si>
  <si>
    <t>5358-4</t>
  </si>
  <si>
    <t>5367-3</t>
  </si>
  <si>
    <t>5367-4</t>
  </si>
  <si>
    <t>5402-3</t>
  </si>
  <si>
    <t>5402-4</t>
  </si>
  <si>
    <t>5479-3</t>
  </si>
  <si>
    <t>5479-4</t>
  </si>
  <si>
    <t>5539-3</t>
  </si>
  <si>
    <t>5539-4</t>
  </si>
  <si>
    <t>5558-3</t>
  </si>
  <si>
    <t>5558-4</t>
  </si>
  <si>
    <t>5566-3</t>
  </si>
  <si>
    <t>5566-4</t>
  </si>
  <si>
    <t>5599-3</t>
  </si>
  <si>
    <t>5599-4</t>
  </si>
  <si>
    <t>5609-3</t>
  </si>
  <si>
    <t>5609-4</t>
  </si>
  <si>
    <t>5621-3</t>
  </si>
  <si>
    <t>601 Series Non-Flip</t>
  </si>
  <si>
    <t>5621-4</t>
  </si>
  <si>
    <t>5655-3</t>
  </si>
  <si>
    <t>5655-4</t>
  </si>
  <si>
    <t>5724-3</t>
  </si>
  <si>
    <t>5724-4</t>
  </si>
  <si>
    <t>5762-3</t>
  </si>
  <si>
    <t>5762-4</t>
  </si>
  <si>
    <t>City</t>
  </si>
  <si>
    <t>Country</t>
  </si>
  <si>
    <t xml:space="preserve"> Devonport</t>
  </si>
  <si>
    <t xml:space="preserve"> Australia</t>
  </si>
  <si>
    <t xml:space="preserve"> Bunbury</t>
  </si>
  <si>
    <t xml:space="preserve"> Kalgoorlie</t>
  </si>
  <si>
    <t xml:space="preserve"> Cairns</t>
  </si>
  <si>
    <t xml:space="preserve"> Whyalla</t>
  </si>
  <si>
    <t xml:space="preserve"> Port Hedland</t>
  </si>
  <si>
    <t xml:space="preserve"> Houston</t>
  </si>
  <si>
    <t xml:space="preserve"> USA</t>
  </si>
  <si>
    <t xml:space="preserve"> New Orleans</t>
  </si>
  <si>
    <t xml:space="preserve"> Tampa</t>
  </si>
  <si>
    <t xml:space="preserve"> New York City</t>
  </si>
  <si>
    <t xml:space="preserve"> Los Angeles</t>
  </si>
  <si>
    <t xml:space="preserve"> Chicago</t>
  </si>
  <si>
    <t xml:space="preserve"> Brisbane</t>
  </si>
  <si>
    <t xml:space="preserve"> Geraldton</t>
  </si>
  <si>
    <t xml:space="preserve"> Phoenix</t>
  </si>
  <si>
    <t xml:space="preserve"> Philadelphia</t>
  </si>
  <si>
    <t xml:space="preserve"> San Antonio</t>
  </si>
  <si>
    <t xml:space="preserve"> San Diego</t>
  </si>
  <si>
    <t xml:space="preserve"> Geelong</t>
  </si>
  <si>
    <t xml:space="preserve"> Busselton</t>
  </si>
  <si>
    <t xml:space="preserve"> Dallas</t>
  </si>
  <si>
    <t xml:space="preserve"> San Jose</t>
  </si>
  <si>
    <t xml:space="preserve"> Austin</t>
  </si>
  <si>
    <t xml:space="preserve"> Jacksonville</t>
  </si>
  <si>
    <t xml:space="preserve"> Fort Worth</t>
  </si>
  <si>
    <t xml:space="preserve"> Macksville</t>
  </si>
  <si>
    <t xml:space="preserve"> Darwin</t>
  </si>
  <si>
    <t xml:space="preserve"> Columbus</t>
  </si>
  <si>
    <t xml:space="preserve"> Charlotte</t>
  </si>
  <si>
    <t xml:space="preserve"> San Francisco</t>
  </si>
  <si>
    <t xml:space="preserve"> Indianapolis</t>
  </si>
  <si>
    <t xml:space="preserve"> Seattle</t>
  </si>
  <si>
    <t xml:space="preserve"> Port Lincoln</t>
  </si>
  <si>
    <t xml:space="preserve"> Nowra</t>
  </si>
  <si>
    <t xml:space="preserve"> Denver</t>
  </si>
  <si>
    <t xml:space="preserve"> Washington DC</t>
  </si>
  <si>
    <t xml:space="preserve"> Boston</t>
  </si>
  <si>
    <t xml:space="preserve"> Detroit</t>
  </si>
  <si>
    <t xml:space="preserve"> Nashville</t>
  </si>
  <si>
    <t xml:space="preserve"> Sydney</t>
  </si>
  <si>
    <t xml:space="preserve"> Lismore</t>
  </si>
  <si>
    <t xml:space="preserve"> Esperance</t>
  </si>
  <si>
    <t xml:space="preserve"> Mount Gambier</t>
  </si>
  <si>
    <t xml:space="preserve"> Memphis</t>
  </si>
  <si>
    <t xml:space="preserve"> Portland</t>
  </si>
  <si>
    <t xml:space="preserve"> Oklahoma City</t>
  </si>
  <si>
    <t xml:space="preserve"> Las Vegas</t>
  </si>
  <si>
    <t xml:space="preserve"> Louisville</t>
  </si>
  <si>
    <t xml:space="preserve"> Hervey Bay</t>
  </si>
  <si>
    <t xml:space="preserve"> Hobart</t>
  </si>
  <si>
    <t xml:space="preserve"> Port Augusta</t>
  </si>
  <si>
    <t xml:space="preserve"> Launceston</t>
  </si>
  <si>
    <t xml:space="preserve"> Baltimore</t>
  </si>
  <si>
    <t xml:space="preserve"> Milwaukee</t>
  </si>
  <si>
    <t xml:space="preserve"> Albuquerque</t>
  </si>
  <si>
    <t xml:space="preserve"> Tucson</t>
  </si>
  <si>
    <t xml:space="preserve"> Fresno</t>
  </si>
  <si>
    <t xml:space="preserve"> Townsville</t>
  </si>
  <si>
    <t xml:space="preserve"> Narooma</t>
  </si>
  <si>
    <t xml:space="preserve"> Sacramento</t>
  </si>
  <si>
    <t xml:space="preserve"> Kansas City</t>
  </si>
  <si>
    <t xml:space="preserve"> Long Beach</t>
  </si>
  <si>
    <t xml:space="preserve"> Mesa</t>
  </si>
  <si>
    <t xml:space="preserve"> Atlanta</t>
  </si>
  <si>
    <t xml:space="preserve"> Canberra</t>
  </si>
  <si>
    <t xml:space="preserve"> Colorado Springs</t>
  </si>
  <si>
    <t xml:space="preserve"> Miami</t>
  </si>
  <si>
    <t xml:space="preserve"> Raleigh</t>
  </si>
  <si>
    <t xml:space="preserve"> Omaha</t>
  </si>
  <si>
    <t xml:space="preserve"> Oakland</t>
  </si>
  <si>
    <t xml:space="preserve"> Gold Coast</t>
  </si>
  <si>
    <t xml:space="preserve"> Albany</t>
  </si>
  <si>
    <t xml:space="preserve"> Mackay</t>
  </si>
  <si>
    <t xml:space="preserve"> Minneapolis</t>
  </si>
  <si>
    <t xml:space="preserve"> Tulsa</t>
  </si>
  <si>
    <t xml:space="preserve"> Cleveland</t>
  </si>
  <si>
    <t xml:space="preserve"> Wichita</t>
  </si>
  <si>
    <t xml:space="preserve"> Arlington</t>
  </si>
  <si>
    <t xml:space="preserve"> Ballarat</t>
  </si>
  <si>
    <t xml:space="preserve"> Wollongong</t>
  </si>
  <si>
    <t xml:space="preserve"> Wagga Wagga</t>
  </si>
  <si>
    <t xml:space="preserve"> Dubbo</t>
  </si>
  <si>
    <t xml:space="preserve"> Katherine</t>
  </si>
  <si>
    <t xml:space="preserve"> Adelaide</t>
  </si>
  <si>
    <t xml:space="preserve"> Perth</t>
  </si>
  <si>
    <t xml:space="preserve"> Griffith</t>
  </si>
  <si>
    <t xml:space="preserve"> Mildura</t>
  </si>
  <si>
    <t xml:space="preserve"> Bendigo</t>
  </si>
  <si>
    <t xml:space="preserve"> Melbourne</t>
  </si>
  <si>
    <t xml:space="preserve"> Rockhampton</t>
  </si>
  <si>
    <t xml:space="preserve"> Mount Isa</t>
  </si>
  <si>
    <t xml:space="preserve"> Bathurst</t>
  </si>
  <si>
    <t xml:space="preserve"> Newcastle</t>
  </si>
  <si>
    <t xml:space="preserve"> Goulburn</t>
  </si>
  <si>
    <t xml:space="preserve"> Tamworth</t>
  </si>
  <si>
    <t xml:space="preserve"> Albury</t>
  </si>
  <si>
    <t xml:space="preserve"> Toowoomba</t>
  </si>
  <si>
    <t xml:space="preserve"> Coffs Harbour</t>
  </si>
  <si>
    <t xml:space="preserve"> Bayview Terrace</t>
  </si>
  <si>
    <t xml:space="preserve"> Beachside Street</t>
  </si>
  <si>
    <t xml:space="preserve"> Cedar Road</t>
  </si>
  <si>
    <t xml:space="preserve"> Coastal View Drive</t>
  </si>
  <si>
    <t xml:space="preserve"> Bayview Lane</t>
  </si>
  <si>
    <t xml:space="preserve"> Oceanfront Avenue</t>
  </si>
  <si>
    <t xml:space="preserve"> Oak Avenue</t>
  </si>
  <si>
    <t xml:space="preserve"> Maryborough</t>
  </si>
  <si>
    <t xml:space="preserve"> Birch Road</t>
  </si>
  <si>
    <t xml:space="preserve"> Marina Drive</t>
  </si>
  <si>
    <t xml:space="preserve"> Oceanic Boulevard</t>
  </si>
  <si>
    <t xml:space="preserve"> Seaside Boulevard</t>
  </si>
  <si>
    <t xml:space="preserve"> Cedar Drive</t>
  </si>
  <si>
    <t xml:space="preserve"> Coastal Lane</t>
  </si>
  <si>
    <t xml:space="preserve"> Maple Drive</t>
  </si>
  <si>
    <t xml:space="preserve"> Coral Cove Terrace</t>
  </si>
  <si>
    <t xml:space="preserve"> Coral Reef Way</t>
  </si>
  <si>
    <t xml:space="preserve"> Seaview Place</t>
  </si>
  <si>
    <t xml:space="preserve"> Coastal Way</t>
  </si>
  <si>
    <t xml:space="preserve"> Pine Ridge Boulevard</t>
  </si>
  <si>
    <t xml:space="preserve"> Coral Cove Court</t>
  </si>
  <si>
    <t xml:space="preserve"> Palm Beach Road</t>
  </si>
  <si>
    <t xml:space="preserve"> Seaview Terrace</t>
  </si>
  <si>
    <t xml:space="preserve"> Oakwood Lane</t>
  </si>
  <si>
    <t xml:space="preserve"> Beachfront Road</t>
  </si>
  <si>
    <t xml:space="preserve"> Beachside Boulevard</t>
  </si>
  <si>
    <t xml:space="preserve"> Beachside Place</t>
  </si>
  <si>
    <t xml:space="preserve"> Lighthouse Boulevard</t>
  </si>
  <si>
    <t xml:space="preserve"> Bayview Road</t>
  </si>
  <si>
    <t xml:space="preserve"> Marina Avenue</t>
  </si>
  <si>
    <t xml:space="preserve"> Sea View Road</t>
  </si>
  <si>
    <t xml:space="preserve"> Beach Road</t>
  </si>
  <si>
    <t xml:space="preserve"> Coral Bay Street</t>
  </si>
  <si>
    <t xml:space="preserve"> Harbourview Drive</t>
  </si>
  <si>
    <t xml:space="preserve"> Oceanfront Road</t>
  </si>
  <si>
    <t xml:space="preserve"> Coastal Court</t>
  </si>
  <si>
    <t xml:space="preserve"> Seaview Avenue</t>
  </si>
  <si>
    <t xml:space="preserve"> Beachcomber Way</t>
  </si>
  <si>
    <t xml:space="preserve"> Coral Springs Boulevard</t>
  </si>
  <si>
    <t xml:space="preserve"> Oceanfront Terrace</t>
  </si>
  <si>
    <t xml:space="preserve"> Oakhill Road</t>
  </si>
  <si>
    <t xml:space="preserve"> Bayview Avenue</t>
  </si>
  <si>
    <t xml:space="preserve"> Bayview Street</t>
  </si>
  <si>
    <t xml:space="preserve"> Coastal Road</t>
  </si>
  <si>
    <t xml:space="preserve"> Port Macquarie</t>
  </si>
  <si>
    <t xml:space="preserve"> Oceanfront Drive</t>
  </si>
  <si>
    <t xml:space="preserve"> Oceanview Avenue</t>
  </si>
  <si>
    <t xml:space="preserve"> Sandy Beach Boulevard</t>
  </si>
  <si>
    <t xml:space="preserve"> Shoreline Street</t>
  </si>
  <si>
    <t xml:space="preserve"> Seabreeze Street</t>
  </si>
  <si>
    <t xml:space="preserve"> Sunset Boulevard</t>
  </si>
  <si>
    <t xml:space="preserve"> Elmwood Terrace</t>
  </si>
  <si>
    <t xml:space="preserve"> Marina Boulevard</t>
  </si>
  <si>
    <t xml:space="preserve"> Seaview Boulevard</t>
  </si>
  <si>
    <t xml:space="preserve"> Seashell Street</t>
  </si>
  <si>
    <t xml:space="preserve"> Seaside Place</t>
  </si>
  <si>
    <t xml:space="preserve"> Cedarcrest Lane</t>
  </si>
  <si>
    <t xml:space="preserve"> Coral Drive</t>
  </si>
  <si>
    <t xml:space="preserve"> Beachside Road</t>
  </si>
  <si>
    <t xml:space="preserve"> Oceanview Terrace</t>
  </si>
  <si>
    <t xml:space="preserve"> Sandy Beach Drive</t>
  </si>
  <si>
    <t xml:space="preserve"> Harbourview Lane</t>
  </si>
  <si>
    <t xml:space="preserve"> Sandstone Street</t>
  </si>
  <si>
    <t xml:space="preserve"> Australia </t>
  </si>
  <si>
    <t xml:space="preserve"> Sandy Bay Place</t>
  </si>
  <si>
    <t xml:space="preserve"> Palm Lane</t>
  </si>
  <si>
    <t xml:space="preserve"> Coastline Street</t>
  </si>
  <si>
    <t xml:space="preserve"> Coral Cove Avenue</t>
  </si>
  <si>
    <t xml:space="preserve"> Pine Ridge Drive</t>
  </si>
  <si>
    <t xml:space="preserve"> Coral Gardens Boulevard</t>
  </si>
  <si>
    <t xml:space="preserve"> Ocean View Drive</t>
  </si>
  <si>
    <t xml:space="preserve"> Pine Road</t>
  </si>
  <si>
    <t xml:space="preserve"> Oakdale Avenue</t>
  </si>
  <si>
    <t xml:space="preserve"> Coral Cove Way</t>
  </si>
  <si>
    <t xml:space="preserve"> Harbourview Court</t>
  </si>
  <si>
    <t xml:space="preserve"> Palm Beach Boulevard</t>
  </si>
  <si>
    <t xml:space="preserve"> Ocean Road</t>
  </si>
  <si>
    <t xml:space="preserve"> Sea Breeze Lane</t>
  </si>
  <si>
    <t xml:space="preserve"> Bayshore Road</t>
  </si>
  <si>
    <t xml:space="preserve"> Cedar Ridge Road</t>
  </si>
  <si>
    <t xml:space="preserve"> Coral Gardens Lane</t>
  </si>
  <si>
    <t xml:space="preserve"> Seaview Road</t>
  </si>
  <si>
    <t xml:space="preserve"> Seashell Avenue</t>
  </si>
  <si>
    <t xml:space="preserve"> Harbourfront Boulevard</t>
  </si>
  <si>
    <t xml:space="preserve"> Sunrise Boulevard</t>
  </si>
  <si>
    <t xml:space="preserve"> Oceanfront Place</t>
  </si>
  <si>
    <t xml:space="preserve"> Birchwood Place</t>
  </si>
  <si>
    <t xml:space="preserve"> Coral Bay Road</t>
  </si>
  <si>
    <t xml:space="preserve"> Maplehurst Street</t>
  </si>
  <si>
    <t xml:space="preserve"> Beachcomber Road</t>
  </si>
  <si>
    <t xml:space="preserve"> Seabreeze Terrace</t>
  </si>
  <si>
    <t xml:space="preserve"> Pinewood Avenue</t>
  </si>
  <si>
    <t xml:space="preserve"> Coastal Boulevard</t>
  </si>
  <si>
    <t xml:space="preserve"> Oakwood Terrace</t>
  </si>
  <si>
    <t xml:space="preserve"> Oceanview Court</t>
  </si>
  <si>
    <t xml:space="preserve"> Cedarhill Road</t>
  </si>
  <si>
    <t xml:space="preserve"> Pineview Drive</t>
  </si>
  <si>
    <t xml:space="preserve"> High Street</t>
  </si>
  <si>
    <t>Min</t>
  </si>
  <si>
    <t>Max</t>
  </si>
  <si>
    <t>Averange</t>
  </si>
  <si>
    <t>Total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</si>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</sst>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yyyy\-mm\-dd;@"/>
    <numFmt numFmtId="166" formatCode="_-[$$-409]* #,##0.00_ ;_-[$$-409]* \-#,##0.00\ ;_-[$$-409]* &quot;-&quot;??_ ;_-@_ "/>
    <numFmt numFmtId="167" formatCode="[$$-4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charset val="204"/>
    </font>
    <font>
      <b/>
      <sz val="10"/>
      <color theme="1"/>
      <name val="Arial"/>
      <charset val="204"/>
    </font>
    <font>
      <b/>
      <sz val="10"/>
      <color theme="1"/>
      <name val="Arial"/>
      <family val="2"/>
      <charset val="204"/>
    </font>
    <font>
      <b/>
      <sz val="10"/>
      <color theme="4" tint="-0.249977111117893"/>
      <name val="Arial"/>
      <family val="2"/>
      <charset val="204"/>
    </font>
    <font>
      <b/>
      <sz val="11"/>
      <color theme="4" tint="-0.24997711111789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5" fillId="0" borderId="0" xfId="0" applyFont="1"/>
    <xf numFmtId="0" fontId="7" fillId="0" borderId="1" xfId="0" applyFont="1" applyBorder="1"/>
    <xf numFmtId="0" fontId="5" fillId="0" borderId="1" xfId="0" applyFont="1" applyBorder="1"/>
    <xf numFmtId="165" fontId="3" fillId="0" borderId="1" xfId="0" applyNumberFormat="1" applyFont="1" applyBorder="1"/>
    <xf numFmtId="0" fontId="3" fillId="0" borderId="1" xfId="0" applyFont="1" applyBorder="1"/>
    <xf numFmtId="165" fontId="6" fillId="0" borderId="1" xfId="0" applyNumberFormat="1" applyFont="1" applyBorder="1"/>
    <xf numFmtId="0" fontId="6" fillId="0" borderId="1" xfId="0" applyFont="1" applyBorder="1"/>
    <xf numFmtId="0" fontId="8" fillId="0" borderId="1" xfId="0" applyFont="1" applyBorder="1"/>
    <xf numFmtId="165" fontId="8" fillId="0" borderId="1" xfId="0" applyNumberFormat="1" applyFont="1" applyBorder="1"/>
    <xf numFmtId="166" fontId="8" fillId="0" borderId="1" xfId="0" applyNumberFormat="1" applyFont="1" applyBorder="1"/>
    <xf numFmtId="166" fontId="3" fillId="0" borderId="1" xfId="0" applyNumberFormat="1" applyFont="1" applyBorder="1"/>
    <xf numFmtId="166" fontId="6" fillId="0" borderId="1" xfId="0" applyNumberFormat="1" applyFont="1" applyBorder="1"/>
    <xf numFmtId="166" fontId="0" fillId="0" borderId="0" xfId="0" applyNumberFormat="1"/>
    <xf numFmtId="167" fontId="8" fillId="0" borderId="1" xfId="0" applyNumberFormat="1" applyFont="1" applyBorder="1"/>
    <xf numFmtId="167" fontId="8" fillId="0" borderId="2" xfId="0" applyNumberFormat="1" applyFont="1" applyBorder="1"/>
    <xf numFmtId="167" fontId="3" fillId="0" borderId="1" xfId="0" applyNumberFormat="1" applyFont="1" applyBorder="1"/>
    <xf numFmtId="167" fontId="3" fillId="0" borderId="1" xfId="1" applyNumberFormat="1" applyFont="1" applyBorder="1" applyAlignment="1"/>
    <xf numFmtId="167" fontId="3" fillId="0" borderId="2" xfId="0" applyNumberFormat="1" applyFont="1" applyBorder="1"/>
    <xf numFmtId="167" fontId="6" fillId="0" borderId="1" xfId="0" applyNumberFormat="1" applyFont="1" applyBorder="1"/>
    <xf numFmtId="167" fontId="6" fillId="0" borderId="2" xfId="0" applyNumberFormat="1" applyFont="1" applyBorder="1"/>
    <xf numFmtId="167" fontId="0" fillId="0" borderId="0" xfId="0" applyNumberFormat="1"/>
    <xf numFmtId="14" fontId="8" fillId="0" borderId="1" xfId="0" applyNumberFormat="1" applyFont="1" applyBorder="1"/>
    <xf numFmtId="14" fontId="3" fillId="0" borderId="1" xfId="0" applyNumberFormat="1" applyFont="1" applyBorder="1"/>
    <xf numFmtId="14" fontId="6" fillId="0" borderId="1" xfId="0" applyNumberFormat="1" applyFont="1" applyBorder="1"/>
    <xf numFmtId="14" fontId="0" fillId="0" borderId="0" xfId="0" applyNumberFormat="1"/>
    <xf numFmtId="166" fontId="3" fillId="0" borderId="1" xfId="1" applyNumberFormat="1" applyFont="1" applyBorder="1" applyAlignment="1"/>
    <xf numFmtId="167" fontId="9" fillId="2" borderId="1" xfId="0" applyNumberFormat="1" applyFont="1" applyFill="1" applyBorder="1"/>
    <xf numFmtId="167" fontId="10" fillId="2" borderId="1" xfId="0" applyNumberFormat="1" applyFont="1" applyFill="1" applyBorder="1"/>
    <xf numFmtId="167" fontId="10" fillId="2" borderId="0" xfId="0" applyNumberFormat="1" applyFont="1" applyFill="1"/>
    <xf numFmtId="14" fontId="0" fillId="0" borderId="0" xfId="0" applyNumberFormat="1" applyFill="1"/>
    <xf numFmtId="166" fontId="0" fillId="0" borderId="0" xfId="0" applyNumberFormat="1" applyFill="1"/>
    <xf numFmtId="0" fontId="0" fillId="0" borderId="0" xfId="0" applyFill="1"/>
    <xf numFmtId="167" fontId="0" fillId="0" borderId="0" xfId="0" applyNumberForma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4"/>
  <sheetViews>
    <sheetView tabSelected="1" topLeftCell="G501" zoomScale="70" zoomScaleNormal="70" workbookViewId="0">
      <selection activeCell="Q531" sqref="Q531"/>
    </sheetView>
  </sheetViews>
  <sheetFormatPr defaultColWidth="8.6640625" defaultRowHeight="14.4" x14ac:dyDescent="0.3"/>
  <cols>
    <col min="1" max="2" width="10.44140625" style="4" customWidth="1"/>
    <col min="3" max="3" width="41.44140625" style="2" customWidth="1"/>
    <col min="4" max="4" width="20.33203125" bestFit="1" customWidth="1"/>
    <col min="5" max="5" width="20.33203125" customWidth="1"/>
    <col min="6" max="6" width="35.44140625" bestFit="1" customWidth="1"/>
    <col min="7" max="7" width="16.33203125" customWidth="1"/>
    <col min="8" max="8" width="18.109375" customWidth="1"/>
    <col min="9" max="9" width="15" customWidth="1"/>
    <col min="10" max="10" width="48.44140625" customWidth="1"/>
    <col min="11" max="11" width="18.44140625" customWidth="1"/>
    <col min="12" max="12" width="19" customWidth="1"/>
    <col min="13" max="13" width="12.44140625" bestFit="1" customWidth="1"/>
    <col min="14" max="14" width="13.33203125" style="28" customWidth="1"/>
    <col min="15" max="15" width="12.6640625" style="16" customWidth="1"/>
    <col min="16" max="16" width="14.6640625" customWidth="1"/>
    <col min="17" max="17" width="12.109375" style="24" customWidth="1"/>
    <col min="18" max="18" width="10.6640625" style="24" customWidth="1"/>
    <col min="19" max="19" width="10.6640625" style="16" customWidth="1"/>
    <col min="20" max="20" width="12.5546875" style="24" customWidth="1"/>
    <col min="21" max="21" width="14.44140625" style="24" customWidth="1"/>
    <col min="22" max="22" width="12.33203125" style="32" bestFit="1" customWidth="1"/>
  </cols>
  <sheetData>
    <row r="1" spans="1:23" s="3" customFormat="1" ht="18" customHeight="1" x14ac:dyDescent="0.3">
      <c r="A1" s="11" t="s">
        <v>0</v>
      </c>
      <c r="B1" s="11" t="s">
        <v>1323</v>
      </c>
      <c r="C1" s="12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25" t="s">
        <v>12</v>
      </c>
      <c r="O1" s="13" t="s">
        <v>13</v>
      </c>
      <c r="P1" s="11" t="s">
        <v>14</v>
      </c>
      <c r="Q1" s="17" t="s">
        <v>15</v>
      </c>
      <c r="R1" s="17" t="s">
        <v>16</v>
      </c>
      <c r="S1" s="13" t="s">
        <v>17</v>
      </c>
      <c r="T1" s="17" t="s">
        <v>18</v>
      </c>
      <c r="U1" s="18" t="s">
        <v>19</v>
      </c>
      <c r="V1" s="30" t="s">
        <v>20</v>
      </c>
    </row>
    <row r="2" spans="1:23" x14ac:dyDescent="0.3">
      <c r="A2" s="6" t="s">
        <v>291</v>
      </c>
      <c r="B2" s="6">
        <f>INT((MONTH(C2) +2)/3)</f>
        <v>1</v>
      </c>
      <c r="C2" s="7">
        <v>41316</v>
      </c>
      <c r="D2" s="8" t="s">
        <v>83</v>
      </c>
      <c r="E2" s="8">
        <v>101102</v>
      </c>
      <c r="F2" s="8" t="s">
        <v>84</v>
      </c>
      <c r="G2" s="8" t="s">
        <v>85</v>
      </c>
      <c r="H2" s="8" t="s">
        <v>74</v>
      </c>
      <c r="I2" s="8" t="s">
        <v>136</v>
      </c>
      <c r="J2" s="8" t="s">
        <v>93</v>
      </c>
      <c r="K2" s="8" t="s">
        <v>33</v>
      </c>
      <c r="L2" s="8" t="s">
        <v>54</v>
      </c>
      <c r="M2" s="8" t="s">
        <v>30</v>
      </c>
      <c r="N2" s="26">
        <v>41317</v>
      </c>
      <c r="O2" s="14">
        <v>5.58</v>
      </c>
      <c r="P2" s="8">
        <v>29</v>
      </c>
      <c r="Q2" s="19">
        <f t="shared" ref="Q2:Q20" si="0">PRODUCT(O2,P2)</f>
        <v>161.82</v>
      </c>
      <c r="R2" s="20">
        <v>0.03</v>
      </c>
      <c r="S2" s="29">
        <f>PRODUCT(Q2,R2)</f>
        <v>4.8545999999999996</v>
      </c>
      <c r="T2" s="20">
        <f>SUM(Q2,-S2)</f>
        <v>156.96539999999999</v>
      </c>
      <c r="U2" s="21">
        <v>2.99</v>
      </c>
      <c r="V2" s="31">
        <f>SUM(T2,U2)</f>
        <v>159.9554</v>
      </c>
      <c r="W2" s="1"/>
    </row>
    <row r="3" spans="1:23" x14ac:dyDescent="0.3">
      <c r="A3" s="6" t="s">
        <v>292</v>
      </c>
      <c r="B3" s="6">
        <f t="shared" ref="B3:B66" si="1">INT((MONTH(C3) +2)/3)</f>
        <v>1</v>
      </c>
      <c r="C3" s="7">
        <v>41316</v>
      </c>
      <c r="D3" s="8" t="s">
        <v>293</v>
      </c>
      <c r="E3" s="8">
        <v>147148</v>
      </c>
      <c r="F3" s="8" t="s">
        <v>294</v>
      </c>
      <c r="G3" s="8" t="s">
        <v>85</v>
      </c>
      <c r="H3" s="8" t="s">
        <v>48</v>
      </c>
      <c r="I3" s="8" t="s">
        <v>136</v>
      </c>
      <c r="J3" s="8" t="s">
        <v>183</v>
      </c>
      <c r="K3" s="8" t="s">
        <v>33</v>
      </c>
      <c r="L3" s="8" t="s">
        <v>34</v>
      </c>
      <c r="M3" s="8" t="s">
        <v>30</v>
      </c>
      <c r="N3" s="26">
        <v>41317</v>
      </c>
      <c r="O3" s="14">
        <v>4.26</v>
      </c>
      <c r="P3" s="8">
        <v>29</v>
      </c>
      <c r="Q3" s="19">
        <f t="shared" si="0"/>
        <v>123.53999999999999</v>
      </c>
      <c r="R3" s="20">
        <v>0.03</v>
      </c>
      <c r="S3" s="29">
        <f t="shared" ref="S3:S66" si="2">PRODUCT(Q3,R3)</f>
        <v>3.7061999999999995</v>
      </c>
      <c r="T3" s="20">
        <f t="shared" ref="T3:T66" si="3">SUM(Q3,-S3)</f>
        <v>119.8338</v>
      </c>
      <c r="U3" s="21">
        <v>1.2</v>
      </c>
      <c r="V3" s="31">
        <f t="shared" ref="V3:V66" si="4">SUM(T3,U3)</f>
        <v>121.0338</v>
      </c>
    </row>
    <row r="4" spans="1:23" x14ac:dyDescent="0.3">
      <c r="A4" s="6" t="s">
        <v>295</v>
      </c>
      <c r="B4" s="6">
        <f t="shared" si="1"/>
        <v>1</v>
      </c>
      <c r="C4" s="7">
        <v>41317</v>
      </c>
      <c r="D4" s="8" t="s">
        <v>296</v>
      </c>
      <c r="E4" s="8">
        <v>149150</v>
      </c>
      <c r="F4" s="8" t="s">
        <v>297</v>
      </c>
      <c r="G4" s="8" t="s">
        <v>24</v>
      </c>
      <c r="H4" s="8" t="s">
        <v>298</v>
      </c>
      <c r="I4" s="8" t="s">
        <v>60</v>
      </c>
      <c r="J4" s="8" t="s">
        <v>299</v>
      </c>
      <c r="K4" s="8" t="s">
        <v>33</v>
      </c>
      <c r="L4" s="8" t="s">
        <v>34</v>
      </c>
      <c r="M4" s="8" t="s">
        <v>42</v>
      </c>
      <c r="N4" s="26">
        <v>41319</v>
      </c>
      <c r="O4" s="14">
        <v>3.71</v>
      </c>
      <c r="P4" s="8">
        <v>42</v>
      </c>
      <c r="Q4" s="19">
        <f t="shared" si="0"/>
        <v>155.82</v>
      </c>
      <c r="R4" s="20">
        <v>7.0000000000000007E-2</v>
      </c>
      <c r="S4" s="29">
        <f t="shared" si="2"/>
        <v>10.907400000000001</v>
      </c>
      <c r="T4" s="20">
        <f t="shared" si="3"/>
        <v>144.9126</v>
      </c>
      <c r="U4" s="21">
        <v>1.93</v>
      </c>
      <c r="V4" s="31">
        <f t="shared" si="4"/>
        <v>146.8426</v>
      </c>
    </row>
    <row r="5" spans="1:23" x14ac:dyDescent="0.3">
      <c r="A5" s="6" t="s">
        <v>300</v>
      </c>
      <c r="B5" s="6">
        <f t="shared" si="1"/>
        <v>1</v>
      </c>
      <c r="C5" s="7">
        <v>41318</v>
      </c>
      <c r="D5" s="8" t="s">
        <v>301</v>
      </c>
      <c r="E5" s="8">
        <v>15</v>
      </c>
      <c r="F5" s="8" t="s">
        <v>302</v>
      </c>
      <c r="G5" s="8" t="s">
        <v>85</v>
      </c>
      <c r="H5" s="8" t="s">
        <v>74</v>
      </c>
      <c r="I5" s="8" t="s">
        <v>136</v>
      </c>
      <c r="J5" s="8" t="s">
        <v>303</v>
      </c>
      <c r="K5" s="8" t="s">
        <v>28</v>
      </c>
      <c r="L5" s="8" t="s">
        <v>138</v>
      </c>
      <c r="M5" s="8" t="s">
        <v>139</v>
      </c>
      <c r="N5" s="26">
        <v>41320</v>
      </c>
      <c r="O5" s="14">
        <v>120.97</v>
      </c>
      <c r="P5" s="8">
        <v>6</v>
      </c>
      <c r="Q5" s="19">
        <f t="shared" si="0"/>
        <v>725.81999999999994</v>
      </c>
      <c r="R5" s="20">
        <v>0.08</v>
      </c>
      <c r="S5" s="29">
        <f t="shared" si="2"/>
        <v>58.065599999999996</v>
      </c>
      <c r="T5" s="20">
        <f t="shared" si="3"/>
        <v>667.75439999999992</v>
      </c>
      <c r="U5" s="21">
        <v>26.3</v>
      </c>
      <c r="V5" s="31">
        <f t="shared" si="4"/>
        <v>694.05439999999987</v>
      </c>
    </row>
    <row r="6" spans="1:23" x14ac:dyDescent="0.3">
      <c r="A6" s="6" t="s">
        <v>304</v>
      </c>
      <c r="B6" s="6">
        <f t="shared" si="1"/>
        <v>1</v>
      </c>
      <c r="C6" s="7">
        <v>41319</v>
      </c>
      <c r="D6" s="8" t="s">
        <v>305</v>
      </c>
      <c r="E6" s="8">
        <v>15</v>
      </c>
      <c r="F6" s="8" t="s">
        <v>306</v>
      </c>
      <c r="G6" s="8" t="s">
        <v>58</v>
      </c>
      <c r="H6" s="8" t="s">
        <v>288</v>
      </c>
      <c r="I6" s="8" t="s">
        <v>60</v>
      </c>
      <c r="J6" s="8" t="s">
        <v>307</v>
      </c>
      <c r="K6" s="8" t="s">
        <v>33</v>
      </c>
      <c r="L6" s="8" t="s">
        <v>34</v>
      </c>
      <c r="M6" s="8" t="s">
        <v>30</v>
      </c>
      <c r="N6" s="26">
        <v>41320</v>
      </c>
      <c r="O6" s="14">
        <v>2.1</v>
      </c>
      <c r="P6" s="8">
        <v>17</v>
      </c>
      <c r="Q6" s="19">
        <f t="shared" si="0"/>
        <v>35.700000000000003</v>
      </c>
      <c r="R6" s="20">
        <v>0.03</v>
      </c>
      <c r="S6" s="29">
        <f t="shared" si="2"/>
        <v>1.071</v>
      </c>
      <c r="T6" s="20">
        <f t="shared" si="3"/>
        <v>34.629000000000005</v>
      </c>
      <c r="U6" s="21">
        <v>0.7</v>
      </c>
      <c r="V6" s="31">
        <f t="shared" si="4"/>
        <v>35.329000000000008</v>
      </c>
    </row>
    <row r="7" spans="1:23" x14ac:dyDescent="0.3">
      <c r="A7" s="6" t="s">
        <v>308</v>
      </c>
      <c r="B7" s="6">
        <f t="shared" si="1"/>
        <v>1</v>
      </c>
      <c r="C7" s="7">
        <v>41320</v>
      </c>
      <c r="D7" s="8" t="s">
        <v>272</v>
      </c>
      <c r="E7" s="8">
        <v>141142</v>
      </c>
      <c r="F7" s="8" t="s">
        <v>273</v>
      </c>
      <c r="G7" s="8" t="s">
        <v>85</v>
      </c>
      <c r="H7" s="8" t="s">
        <v>67</v>
      </c>
      <c r="I7" s="8" t="s">
        <v>26</v>
      </c>
      <c r="J7" s="8" t="s">
        <v>309</v>
      </c>
      <c r="K7" s="8" t="s">
        <v>33</v>
      </c>
      <c r="L7" s="8" t="s">
        <v>54</v>
      </c>
      <c r="M7" s="8" t="s">
        <v>30</v>
      </c>
      <c r="N7" s="26">
        <v>41321</v>
      </c>
      <c r="O7" s="14">
        <v>1.98</v>
      </c>
      <c r="P7" s="8">
        <v>3</v>
      </c>
      <c r="Q7" s="19">
        <f t="shared" si="0"/>
        <v>5.9399999999999995</v>
      </c>
      <c r="R7" s="20">
        <v>0.05</v>
      </c>
      <c r="S7" s="29">
        <f t="shared" si="2"/>
        <v>0.29699999999999999</v>
      </c>
      <c r="T7" s="20">
        <f t="shared" si="3"/>
        <v>5.6429999999999998</v>
      </c>
      <c r="U7" s="21">
        <v>4.7699999999999996</v>
      </c>
      <c r="V7" s="31">
        <f t="shared" si="4"/>
        <v>10.413</v>
      </c>
    </row>
    <row r="8" spans="1:23" x14ac:dyDescent="0.3">
      <c r="A8" s="6" t="s">
        <v>310</v>
      </c>
      <c r="B8" s="6">
        <f t="shared" si="1"/>
        <v>1</v>
      </c>
      <c r="C8" s="7">
        <v>41322</v>
      </c>
      <c r="D8" s="8" t="s">
        <v>311</v>
      </c>
      <c r="E8" s="8">
        <v>15</v>
      </c>
      <c r="F8" s="8" t="s">
        <v>312</v>
      </c>
      <c r="G8" s="8" t="s">
        <v>85</v>
      </c>
      <c r="H8" s="8" t="s">
        <v>74</v>
      </c>
      <c r="I8" s="8" t="s">
        <v>40</v>
      </c>
      <c r="J8" s="8" t="s">
        <v>193</v>
      </c>
      <c r="K8" s="8" t="s">
        <v>33</v>
      </c>
      <c r="L8" s="8" t="s">
        <v>34</v>
      </c>
      <c r="M8" s="8" t="s">
        <v>30</v>
      </c>
      <c r="N8" s="26">
        <v>41327</v>
      </c>
      <c r="O8" s="14">
        <v>2.6</v>
      </c>
      <c r="P8" s="8">
        <v>47</v>
      </c>
      <c r="Q8" s="19">
        <f t="shared" si="0"/>
        <v>122.2</v>
      </c>
      <c r="R8" s="20">
        <v>0.1</v>
      </c>
      <c r="S8" s="29">
        <f t="shared" si="2"/>
        <v>12.22</v>
      </c>
      <c r="T8" s="20">
        <f t="shared" si="3"/>
        <v>109.98</v>
      </c>
      <c r="U8" s="21">
        <v>2.4</v>
      </c>
      <c r="V8" s="31">
        <f t="shared" si="4"/>
        <v>112.38000000000001</v>
      </c>
    </row>
    <row r="9" spans="1:23" x14ac:dyDescent="0.3">
      <c r="A9" s="6" t="s">
        <v>313</v>
      </c>
      <c r="B9" s="6">
        <f t="shared" si="1"/>
        <v>1</v>
      </c>
      <c r="C9" s="7">
        <v>41323</v>
      </c>
      <c r="D9" s="8" t="s">
        <v>314</v>
      </c>
      <c r="E9" s="8">
        <v>15</v>
      </c>
      <c r="F9" s="8" t="s">
        <v>315</v>
      </c>
      <c r="G9" s="8" t="s">
        <v>24</v>
      </c>
      <c r="H9" s="8" t="s">
        <v>39</v>
      </c>
      <c r="I9" s="8" t="s">
        <v>60</v>
      </c>
      <c r="J9" s="8" t="s">
        <v>316</v>
      </c>
      <c r="K9" s="8" t="s">
        <v>33</v>
      </c>
      <c r="L9" s="8" t="s">
        <v>54</v>
      </c>
      <c r="M9" s="8" t="s">
        <v>30</v>
      </c>
      <c r="N9" s="26">
        <v>41325</v>
      </c>
      <c r="O9" s="14">
        <v>162.93</v>
      </c>
      <c r="P9" s="8">
        <v>32</v>
      </c>
      <c r="Q9" s="19">
        <f t="shared" si="0"/>
        <v>5213.76</v>
      </c>
      <c r="R9" s="20">
        <v>0.09</v>
      </c>
      <c r="S9" s="29">
        <f t="shared" si="2"/>
        <v>469.23840000000001</v>
      </c>
      <c r="T9" s="20">
        <f t="shared" si="3"/>
        <v>4744.5216</v>
      </c>
      <c r="U9" s="21">
        <v>19.989999999999998</v>
      </c>
      <c r="V9" s="31">
        <f t="shared" si="4"/>
        <v>4764.5115999999998</v>
      </c>
    </row>
    <row r="10" spans="1:23" x14ac:dyDescent="0.3">
      <c r="A10" s="6" t="s">
        <v>317</v>
      </c>
      <c r="B10" s="6">
        <f t="shared" si="1"/>
        <v>1</v>
      </c>
      <c r="C10" s="7">
        <v>41325</v>
      </c>
      <c r="D10" s="8" t="s">
        <v>318</v>
      </c>
      <c r="E10" s="8">
        <v>151152</v>
      </c>
      <c r="F10" s="8" t="s">
        <v>319</v>
      </c>
      <c r="G10" s="8" t="s">
        <v>58</v>
      </c>
      <c r="H10" s="8" t="s">
        <v>39</v>
      </c>
      <c r="I10" s="8" t="s">
        <v>60</v>
      </c>
      <c r="J10" s="8" t="s">
        <v>320</v>
      </c>
      <c r="K10" s="8" t="s">
        <v>33</v>
      </c>
      <c r="L10" s="8" t="s">
        <v>34</v>
      </c>
      <c r="M10" s="8" t="s">
        <v>30</v>
      </c>
      <c r="N10" s="26">
        <v>41327</v>
      </c>
      <c r="O10" s="14">
        <v>1.68</v>
      </c>
      <c r="P10" s="8">
        <v>33</v>
      </c>
      <c r="Q10" s="19">
        <f t="shared" si="0"/>
        <v>55.44</v>
      </c>
      <c r="R10" s="20">
        <v>0.04</v>
      </c>
      <c r="S10" s="29">
        <f t="shared" si="2"/>
        <v>2.2176</v>
      </c>
      <c r="T10" s="20">
        <f t="shared" si="3"/>
        <v>53.2224</v>
      </c>
      <c r="U10" s="21">
        <v>1</v>
      </c>
      <c r="V10" s="31">
        <f t="shared" si="4"/>
        <v>54.2224</v>
      </c>
    </row>
    <row r="11" spans="1:23" x14ac:dyDescent="0.3">
      <c r="A11" s="6" t="s">
        <v>321</v>
      </c>
      <c r="B11" s="6">
        <f t="shared" si="1"/>
        <v>1</v>
      </c>
      <c r="C11" s="7">
        <v>41327</v>
      </c>
      <c r="D11" s="8" t="s">
        <v>322</v>
      </c>
      <c r="E11" s="8">
        <v>1516</v>
      </c>
      <c r="F11" s="8" t="s">
        <v>323</v>
      </c>
      <c r="G11" s="8" t="s">
        <v>38</v>
      </c>
      <c r="H11" s="8" t="s">
        <v>298</v>
      </c>
      <c r="I11" s="8" t="s">
        <v>49</v>
      </c>
      <c r="J11" s="8" t="s">
        <v>324</v>
      </c>
      <c r="K11" s="8" t="s">
        <v>33</v>
      </c>
      <c r="L11" s="8" t="s">
        <v>54</v>
      </c>
      <c r="M11" s="8" t="s">
        <v>30</v>
      </c>
      <c r="N11" s="26">
        <v>41328</v>
      </c>
      <c r="O11" s="14">
        <v>90.48</v>
      </c>
      <c r="P11" s="8">
        <v>8</v>
      </c>
      <c r="Q11" s="19">
        <f t="shared" si="0"/>
        <v>723.84</v>
      </c>
      <c r="R11" s="20">
        <v>7.0000000000000007E-2</v>
      </c>
      <c r="S11" s="29">
        <f t="shared" si="2"/>
        <v>50.668800000000005</v>
      </c>
      <c r="T11" s="20">
        <f t="shared" si="3"/>
        <v>673.1712</v>
      </c>
      <c r="U11" s="21">
        <v>19.989999999999998</v>
      </c>
      <c r="V11" s="31">
        <f t="shared" si="4"/>
        <v>693.16120000000001</v>
      </c>
    </row>
    <row r="12" spans="1:23" x14ac:dyDescent="0.3">
      <c r="A12" s="6" t="s">
        <v>325</v>
      </c>
      <c r="B12" s="6">
        <f t="shared" si="1"/>
        <v>1</v>
      </c>
      <c r="C12" s="7">
        <v>41328</v>
      </c>
      <c r="D12" s="8" t="s">
        <v>326</v>
      </c>
      <c r="E12" s="8">
        <v>153154</v>
      </c>
      <c r="F12" s="8" t="s">
        <v>327</v>
      </c>
      <c r="G12" s="8" t="s">
        <v>24</v>
      </c>
      <c r="H12" s="8" t="s">
        <v>130</v>
      </c>
      <c r="I12" s="8" t="s">
        <v>49</v>
      </c>
      <c r="J12" s="8" t="s">
        <v>86</v>
      </c>
      <c r="K12" s="8" t="s">
        <v>33</v>
      </c>
      <c r="L12" s="8" t="s">
        <v>54</v>
      </c>
      <c r="M12" s="8" t="s">
        <v>30</v>
      </c>
      <c r="N12" s="26">
        <v>41328</v>
      </c>
      <c r="O12" s="14">
        <v>8.6</v>
      </c>
      <c r="P12" s="8">
        <v>48</v>
      </c>
      <c r="Q12" s="19">
        <f t="shared" si="0"/>
        <v>412.79999999999995</v>
      </c>
      <c r="R12" s="20">
        <v>0</v>
      </c>
      <c r="S12" s="29">
        <f t="shared" si="2"/>
        <v>0</v>
      </c>
      <c r="T12" s="20">
        <f t="shared" si="3"/>
        <v>412.79999999999995</v>
      </c>
      <c r="U12" s="21">
        <v>6.19</v>
      </c>
      <c r="V12" s="31">
        <f t="shared" si="4"/>
        <v>418.98999999999995</v>
      </c>
    </row>
    <row r="13" spans="1:23" x14ac:dyDescent="0.3">
      <c r="A13" s="6" t="s">
        <v>328</v>
      </c>
      <c r="B13" s="6">
        <f t="shared" si="1"/>
        <v>1</v>
      </c>
      <c r="C13" s="7">
        <v>41329</v>
      </c>
      <c r="D13" s="8" t="s">
        <v>78</v>
      </c>
      <c r="E13" s="8">
        <v>1011</v>
      </c>
      <c r="F13" s="8" t="s">
        <v>79</v>
      </c>
      <c r="G13" s="8" t="s">
        <v>24</v>
      </c>
      <c r="H13" s="8" t="s">
        <v>25</v>
      </c>
      <c r="I13" s="8" t="s">
        <v>26</v>
      </c>
      <c r="J13" s="8" t="s">
        <v>114</v>
      </c>
      <c r="K13" s="8" t="s">
        <v>33</v>
      </c>
      <c r="L13" s="8" t="s">
        <v>34</v>
      </c>
      <c r="M13" s="8" t="s">
        <v>30</v>
      </c>
      <c r="N13" s="26">
        <v>41330</v>
      </c>
      <c r="O13" s="14">
        <v>1.81</v>
      </c>
      <c r="P13" s="8">
        <v>41</v>
      </c>
      <c r="Q13" s="19">
        <f t="shared" si="0"/>
        <v>74.210000000000008</v>
      </c>
      <c r="R13" s="20">
        <v>0.03</v>
      </c>
      <c r="S13" s="29">
        <f t="shared" si="2"/>
        <v>2.2263000000000002</v>
      </c>
      <c r="T13" s="20">
        <f t="shared" si="3"/>
        <v>71.983700000000013</v>
      </c>
      <c r="U13" s="21">
        <v>0.75</v>
      </c>
      <c r="V13" s="31">
        <f t="shared" si="4"/>
        <v>72.733700000000013</v>
      </c>
    </row>
    <row r="14" spans="1:23" x14ac:dyDescent="0.3">
      <c r="A14" s="6" t="s">
        <v>329</v>
      </c>
      <c r="B14" s="6">
        <f t="shared" si="1"/>
        <v>1</v>
      </c>
      <c r="C14" s="7">
        <v>41330</v>
      </c>
      <c r="D14" s="8" t="s">
        <v>330</v>
      </c>
      <c r="E14" s="8">
        <v>155156</v>
      </c>
      <c r="F14" s="8" t="s">
        <v>331</v>
      </c>
      <c r="G14" s="8" t="s">
        <v>24</v>
      </c>
      <c r="H14" s="8" t="s">
        <v>48</v>
      </c>
      <c r="I14" s="8" t="s">
        <v>26</v>
      </c>
      <c r="J14" s="8" t="s">
        <v>332</v>
      </c>
      <c r="K14" s="8" t="s">
        <v>33</v>
      </c>
      <c r="L14" s="8" t="s">
        <v>54</v>
      </c>
      <c r="M14" s="8" t="s">
        <v>30</v>
      </c>
      <c r="N14" s="26">
        <v>41332</v>
      </c>
      <c r="O14" s="14">
        <v>7.64</v>
      </c>
      <c r="P14" s="8">
        <v>18</v>
      </c>
      <c r="Q14" s="19">
        <f t="shared" si="0"/>
        <v>137.51999999999998</v>
      </c>
      <c r="R14" s="20">
        <v>0.1</v>
      </c>
      <c r="S14" s="29">
        <f t="shared" si="2"/>
        <v>13.751999999999999</v>
      </c>
      <c r="T14" s="20">
        <f t="shared" si="3"/>
        <v>123.76799999999999</v>
      </c>
      <c r="U14" s="21">
        <v>1.39</v>
      </c>
      <c r="V14" s="31">
        <f t="shared" si="4"/>
        <v>125.15799999999999</v>
      </c>
    </row>
    <row r="15" spans="1:23" x14ac:dyDescent="0.3">
      <c r="A15" s="6" t="s">
        <v>333</v>
      </c>
      <c r="B15" s="6">
        <f t="shared" si="1"/>
        <v>1</v>
      </c>
      <c r="C15" s="7">
        <v>41330</v>
      </c>
      <c r="D15" s="8" t="s">
        <v>334</v>
      </c>
      <c r="E15" s="8">
        <v>157158</v>
      </c>
      <c r="F15" s="8" t="s">
        <v>335</v>
      </c>
      <c r="G15" s="8" t="s">
        <v>24</v>
      </c>
      <c r="H15" s="8" t="s">
        <v>118</v>
      </c>
      <c r="I15" s="8" t="s">
        <v>26</v>
      </c>
      <c r="J15" s="8" t="s">
        <v>324</v>
      </c>
      <c r="K15" s="8" t="s">
        <v>33</v>
      </c>
      <c r="L15" s="8" t="s">
        <v>54</v>
      </c>
      <c r="M15" s="8" t="s">
        <v>30</v>
      </c>
      <c r="N15" s="26">
        <v>41332</v>
      </c>
      <c r="O15" s="14">
        <v>90.48</v>
      </c>
      <c r="P15" s="8">
        <v>3</v>
      </c>
      <c r="Q15" s="19">
        <f t="shared" si="0"/>
        <v>271.44</v>
      </c>
      <c r="R15" s="20">
        <v>0.03</v>
      </c>
      <c r="S15" s="29">
        <f t="shared" si="2"/>
        <v>8.1432000000000002</v>
      </c>
      <c r="T15" s="20">
        <f t="shared" si="3"/>
        <v>263.29680000000002</v>
      </c>
      <c r="U15" s="21">
        <v>19.989999999999998</v>
      </c>
      <c r="V15" s="31">
        <f t="shared" si="4"/>
        <v>283.28680000000003</v>
      </c>
    </row>
    <row r="16" spans="1:23" x14ac:dyDescent="0.3">
      <c r="A16" s="6" t="s">
        <v>336</v>
      </c>
      <c r="B16" s="6">
        <f t="shared" si="1"/>
        <v>1</v>
      </c>
      <c r="C16" s="7">
        <v>41331</v>
      </c>
      <c r="D16" s="8" t="s">
        <v>337</v>
      </c>
      <c r="E16" s="8">
        <v>159160</v>
      </c>
      <c r="F16" s="8" t="s">
        <v>338</v>
      </c>
      <c r="G16" s="8" t="s">
        <v>24</v>
      </c>
      <c r="H16" s="8" t="s">
        <v>39</v>
      </c>
      <c r="I16" s="8" t="s">
        <v>136</v>
      </c>
      <c r="J16" s="8" t="s">
        <v>339</v>
      </c>
      <c r="K16" s="8" t="s">
        <v>33</v>
      </c>
      <c r="L16" s="8" t="s">
        <v>54</v>
      </c>
      <c r="M16" s="8" t="s">
        <v>30</v>
      </c>
      <c r="N16" s="26">
        <v>41331</v>
      </c>
      <c r="O16" s="14">
        <v>58.1</v>
      </c>
      <c r="P16" s="8">
        <v>50</v>
      </c>
      <c r="Q16" s="19">
        <f t="shared" si="0"/>
        <v>2905</v>
      </c>
      <c r="R16" s="20">
        <v>0.05</v>
      </c>
      <c r="S16" s="29">
        <f t="shared" si="2"/>
        <v>145.25</v>
      </c>
      <c r="T16" s="20">
        <f t="shared" si="3"/>
        <v>2759.75</v>
      </c>
      <c r="U16" s="21">
        <v>1.49</v>
      </c>
      <c r="V16" s="31">
        <f t="shared" si="4"/>
        <v>2761.24</v>
      </c>
    </row>
    <row r="17" spans="1:22" x14ac:dyDescent="0.3">
      <c r="A17" s="6" t="s">
        <v>340</v>
      </c>
      <c r="B17" s="6">
        <f t="shared" si="1"/>
        <v>1</v>
      </c>
      <c r="C17" s="7">
        <v>41340</v>
      </c>
      <c r="D17" s="8" t="s">
        <v>341</v>
      </c>
      <c r="E17" s="8">
        <v>16</v>
      </c>
      <c r="F17" s="8" t="s">
        <v>342</v>
      </c>
      <c r="G17" s="8" t="s">
        <v>24</v>
      </c>
      <c r="H17" s="8" t="s">
        <v>74</v>
      </c>
      <c r="I17" s="8" t="s">
        <v>60</v>
      </c>
      <c r="J17" s="8" t="s">
        <v>265</v>
      </c>
      <c r="K17" s="8" t="s">
        <v>33</v>
      </c>
      <c r="L17" s="8" t="s">
        <v>34</v>
      </c>
      <c r="M17" s="8" t="s">
        <v>30</v>
      </c>
      <c r="N17" s="26">
        <v>41343</v>
      </c>
      <c r="O17" s="14">
        <v>1.1399999999999999</v>
      </c>
      <c r="P17" s="8">
        <v>50</v>
      </c>
      <c r="Q17" s="19">
        <f t="shared" si="0"/>
        <v>56.999999999999993</v>
      </c>
      <c r="R17" s="20">
        <v>0.06</v>
      </c>
      <c r="S17" s="29">
        <f t="shared" si="2"/>
        <v>3.4199999999999995</v>
      </c>
      <c r="T17" s="20">
        <f t="shared" si="3"/>
        <v>53.579999999999991</v>
      </c>
      <c r="U17" s="21">
        <v>0.7</v>
      </c>
      <c r="V17" s="31">
        <f t="shared" si="4"/>
        <v>54.279999999999994</v>
      </c>
    </row>
    <row r="18" spans="1:22" x14ac:dyDescent="0.3">
      <c r="A18" s="6" t="s">
        <v>343</v>
      </c>
      <c r="B18" s="6">
        <f t="shared" si="1"/>
        <v>1</v>
      </c>
      <c r="C18" s="7">
        <v>41344</v>
      </c>
      <c r="D18" s="8" t="s">
        <v>344</v>
      </c>
      <c r="E18" s="8">
        <v>16</v>
      </c>
      <c r="F18" s="8" t="s">
        <v>345</v>
      </c>
      <c r="G18" s="8" t="s">
        <v>85</v>
      </c>
      <c r="H18" s="8" t="s">
        <v>346</v>
      </c>
      <c r="I18" s="8" t="s">
        <v>60</v>
      </c>
      <c r="J18" s="8" t="s">
        <v>347</v>
      </c>
      <c r="K18" s="8" t="s">
        <v>33</v>
      </c>
      <c r="L18" s="8" t="s">
        <v>29</v>
      </c>
      <c r="M18" s="8" t="s">
        <v>30</v>
      </c>
      <c r="N18" s="26">
        <v>41346</v>
      </c>
      <c r="O18" s="14">
        <v>8.34</v>
      </c>
      <c r="P18" s="8">
        <v>16</v>
      </c>
      <c r="Q18" s="19">
        <f t="shared" si="0"/>
        <v>133.44</v>
      </c>
      <c r="R18" s="20">
        <v>0.03</v>
      </c>
      <c r="S18" s="29">
        <f t="shared" si="2"/>
        <v>4.0031999999999996</v>
      </c>
      <c r="T18" s="20">
        <f t="shared" si="3"/>
        <v>129.43680000000001</v>
      </c>
      <c r="U18" s="21">
        <v>2.64</v>
      </c>
      <c r="V18" s="31">
        <f t="shared" si="4"/>
        <v>132.07679999999999</v>
      </c>
    </row>
    <row r="19" spans="1:22" x14ac:dyDescent="0.3">
      <c r="A19" s="6" t="s">
        <v>348</v>
      </c>
      <c r="B19" s="6">
        <f t="shared" si="1"/>
        <v>1</v>
      </c>
      <c r="C19" s="7">
        <v>41346</v>
      </c>
      <c r="D19" s="8" t="s">
        <v>349</v>
      </c>
      <c r="E19" s="8">
        <v>16</v>
      </c>
      <c r="F19" s="8" t="s">
        <v>350</v>
      </c>
      <c r="G19" s="8" t="s">
        <v>24</v>
      </c>
      <c r="H19" s="8" t="s">
        <v>48</v>
      </c>
      <c r="I19" s="8" t="s">
        <v>40</v>
      </c>
      <c r="J19" s="8" t="s">
        <v>265</v>
      </c>
      <c r="K19" s="8" t="s">
        <v>33</v>
      </c>
      <c r="L19" s="8" t="s">
        <v>34</v>
      </c>
      <c r="M19" s="8" t="s">
        <v>30</v>
      </c>
      <c r="N19" s="26">
        <v>41346</v>
      </c>
      <c r="O19" s="14">
        <v>1.1399999999999999</v>
      </c>
      <c r="P19" s="8">
        <v>38</v>
      </c>
      <c r="Q19" s="19">
        <f t="shared" si="0"/>
        <v>43.319999999999993</v>
      </c>
      <c r="R19" s="20">
        <v>0.02</v>
      </c>
      <c r="S19" s="29">
        <f t="shared" si="2"/>
        <v>0.86639999999999984</v>
      </c>
      <c r="T19" s="20">
        <f t="shared" si="3"/>
        <v>42.453599999999994</v>
      </c>
      <c r="U19" s="21">
        <v>0.7</v>
      </c>
      <c r="V19" s="31">
        <f t="shared" si="4"/>
        <v>43.153599999999997</v>
      </c>
    </row>
    <row r="20" spans="1:22" x14ac:dyDescent="0.3">
      <c r="A20" s="6" t="s">
        <v>351</v>
      </c>
      <c r="B20" s="6">
        <f t="shared" si="1"/>
        <v>1</v>
      </c>
      <c r="C20" s="7">
        <v>41348</v>
      </c>
      <c r="D20" s="8" t="s">
        <v>352</v>
      </c>
      <c r="E20" s="8">
        <v>16</v>
      </c>
      <c r="F20" s="8" t="s">
        <v>353</v>
      </c>
      <c r="G20" s="8" t="s">
        <v>24</v>
      </c>
      <c r="H20" s="8" t="s">
        <v>130</v>
      </c>
      <c r="I20" s="8" t="s">
        <v>26</v>
      </c>
      <c r="J20" s="8" t="s">
        <v>289</v>
      </c>
      <c r="K20" s="8" t="s">
        <v>33</v>
      </c>
      <c r="L20" s="8" t="s">
        <v>54</v>
      </c>
      <c r="M20" s="8" t="s">
        <v>30</v>
      </c>
      <c r="N20" s="26">
        <v>41349</v>
      </c>
      <c r="O20" s="14">
        <v>7.28</v>
      </c>
      <c r="P20" s="8">
        <v>22</v>
      </c>
      <c r="Q20" s="19">
        <f t="shared" si="0"/>
        <v>160.16</v>
      </c>
      <c r="R20" s="20">
        <v>0.01</v>
      </c>
      <c r="S20" s="29">
        <f t="shared" si="2"/>
        <v>1.6015999999999999</v>
      </c>
      <c r="T20" s="20">
        <f t="shared" si="3"/>
        <v>158.55840000000001</v>
      </c>
      <c r="U20" s="21">
        <v>11.15</v>
      </c>
      <c r="V20" s="31">
        <f t="shared" si="4"/>
        <v>169.70840000000001</v>
      </c>
    </row>
    <row r="21" spans="1:22" x14ac:dyDescent="0.3">
      <c r="A21" s="6" t="s">
        <v>354</v>
      </c>
      <c r="B21" s="6">
        <f t="shared" si="1"/>
        <v>1</v>
      </c>
      <c r="C21" s="7">
        <v>41349</v>
      </c>
      <c r="D21" s="8" t="s">
        <v>355</v>
      </c>
      <c r="E21" s="8">
        <v>161162</v>
      </c>
      <c r="F21" s="8" t="s">
        <v>356</v>
      </c>
      <c r="G21" s="8" t="s">
        <v>38</v>
      </c>
      <c r="H21" s="8" t="s">
        <v>25</v>
      </c>
      <c r="I21" s="8" t="s">
        <v>40</v>
      </c>
      <c r="J21" s="8" t="s">
        <v>222</v>
      </c>
      <c r="K21" s="8" t="s">
        <v>33</v>
      </c>
      <c r="L21" s="8" t="s">
        <v>34</v>
      </c>
      <c r="M21" s="8" t="s">
        <v>30</v>
      </c>
      <c r="N21" s="26">
        <v>41353</v>
      </c>
      <c r="O21" s="14">
        <v>2.88</v>
      </c>
      <c r="P21" s="8">
        <v>48</v>
      </c>
      <c r="Q21" s="19">
        <f t="shared" ref="Q21:Q84" si="5">PRODUCT(O21,P21)</f>
        <v>138.24</v>
      </c>
      <c r="R21" s="20">
        <v>7.0000000000000007E-2</v>
      </c>
      <c r="S21" s="29">
        <f t="shared" si="2"/>
        <v>9.6768000000000018</v>
      </c>
      <c r="T21" s="20">
        <f t="shared" si="3"/>
        <v>128.56319999999999</v>
      </c>
      <c r="U21" s="21">
        <v>1.01</v>
      </c>
      <c r="V21" s="31">
        <f t="shared" si="4"/>
        <v>129.57319999999999</v>
      </c>
    </row>
    <row r="22" spans="1:22" x14ac:dyDescent="0.3">
      <c r="A22" s="6" t="s">
        <v>357</v>
      </c>
      <c r="B22" s="6">
        <f t="shared" si="1"/>
        <v>1</v>
      </c>
      <c r="C22" s="7">
        <v>41354</v>
      </c>
      <c r="D22" s="8" t="s">
        <v>358</v>
      </c>
      <c r="E22" s="8">
        <v>163164</v>
      </c>
      <c r="F22" s="8" t="s">
        <v>359</v>
      </c>
      <c r="G22" s="8" t="s">
        <v>38</v>
      </c>
      <c r="H22" s="8" t="s">
        <v>25</v>
      </c>
      <c r="I22" s="8" t="s">
        <v>40</v>
      </c>
      <c r="J22" s="8" t="s">
        <v>253</v>
      </c>
      <c r="K22" s="8" t="s">
        <v>243</v>
      </c>
      <c r="L22" s="8" t="s">
        <v>29</v>
      </c>
      <c r="M22" s="8" t="s">
        <v>30</v>
      </c>
      <c r="N22" s="26">
        <v>41361</v>
      </c>
      <c r="O22" s="14">
        <v>12.22</v>
      </c>
      <c r="P22" s="8">
        <v>5</v>
      </c>
      <c r="Q22" s="19">
        <f t="shared" si="5"/>
        <v>61.1</v>
      </c>
      <c r="R22" s="20">
        <v>0.04</v>
      </c>
      <c r="S22" s="29">
        <f t="shared" si="2"/>
        <v>2.444</v>
      </c>
      <c r="T22" s="20">
        <f t="shared" si="3"/>
        <v>58.655999999999999</v>
      </c>
      <c r="U22" s="21">
        <v>2.85</v>
      </c>
      <c r="V22" s="31">
        <f t="shared" si="4"/>
        <v>61.506</v>
      </c>
    </row>
    <row r="23" spans="1:22" x14ac:dyDescent="0.3">
      <c r="A23" s="6" t="s">
        <v>360</v>
      </c>
      <c r="B23" s="6">
        <f t="shared" si="1"/>
        <v>1</v>
      </c>
      <c r="C23" s="7">
        <v>41356</v>
      </c>
      <c r="D23" s="8" t="s">
        <v>361</v>
      </c>
      <c r="E23" s="8">
        <v>165166</v>
      </c>
      <c r="F23" s="8" t="s">
        <v>362</v>
      </c>
      <c r="G23" s="8" t="s">
        <v>38</v>
      </c>
      <c r="H23" s="8" t="s">
        <v>288</v>
      </c>
      <c r="I23" s="8" t="s">
        <v>136</v>
      </c>
      <c r="J23" s="8" t="s">
        <v>363</v>
      </c>
      <c r="K23" s="8" t="s">
        <v>33</v>
      </c>
      <c r="L23" s="8" t="s">
        <v>34</v>
      </c>
      <c r="M23" s="8" t="s">
        <v>30</v>
      </c>
      <c r="N23" s="26">
        <v>41359</v>
      </c>
      <c r="O23" s="14">
        <v>2.98</v>
      </c>
      <c r="P23" s="8">
        <v>22</v>
      </c>
      <c r="Q23" s="19">
        <f t="shared" si="5"/>
        <v>65.56</v>
      </c>
      <c r="R23" s="20">
        <v>0.04</v>
      </c>
      <c r="S23" s="29">
        <f t="shared" si="2"/>
        <v>2.6224000000000003</v>
      </c>
      <c r="T23" s="20">
        <f t="shared" si="3"/>
        <v>62.937600000000003</v>
      </c>
      <c r="U23" s="21">
        <v>1.58</v>
      </c>
      <c r="V23" s="31">
        <f t="shared" si="4"/>
        <v>64.517600000000002</v>
      </c>
    </row>
    <row r="24" spans="1:22" x14ac:dyDescent="0.3">
      <c r="A24" s="6" t="s">
        <v>364</v>
      </c>
      <c r="B24" s="6">
        <f t="shared" si="1"/>
        <v>1</v>
      </c>
      <c r="C24" s="7">
        <v>41359</v>
      </c>
      <c r="D24" s="8" t="s">
        <v>365</v>
      </c>
      <c r="E24" s="8">
        <v>167168</v>
      </c>
      <c r="F24" s="8" t="s">
        <v>366</v>
      </c>
      <c r="G24" s="8" t="s">
        <v>58</v>
      </c>
      <c r="H24" s="8" t="s">
        <v>99</v>
      </c>
      <c r="I24" s="8" t="s">
        <v>49</v>
      </c>
      <c r="J24" s="8" t="s">
        <v>367</v>
      </c>
      <c r="K24" s="8" t="s">
        <v>28</v>
      </c>
      <c r="L24" s="8" t="s">
        <v>54</v>
      </c>
      <c r="M24" s="8" t="s">
        <v>30</v>
      </c>
      <c r="N24" s="26">
        <v>41361</v>
      </c>
      <c r="O24" s="14">
        <v>159.99</v>
      </c>
      <c r="P24" s="8">
        <v>30</v>
      </c>
      <c r="Q24" s="19">
        <f t="shared" si="5"/>
        <v>4799.7000000000007</v>
      </c>
      <c r="R24" s="20">
        <v>0.01</v>
      </c>
      <c r="S24" s="29">
        <f t="shared" si="2"/>
        <v>47.997000000000007</v>
      </c>
      <c r="T24" s="20">
        <f t="shared" si="3"/>
        <v>4751.7030000000004</v>
      </c>
      <c r="U24" s="21">
        <v>5.5</v>
      </c>
      <c r="V24" s="31">
        <f t="shared" si="4"/>
        <v>4757.2030000000004</v>
      </c>
    </row>
    <row r="25" spans="1:22" x14ac:dyDescent="0.3">
      <c r="A25" s="6" t="s">
        <v>368</v>
      </c>
      <c r="B25" s="6">
        <f t="shared" si="1"/>
        <v>1</v>
      </c>
      <c r="C25" s="7">
        <v>41360</v>
      </c>
      <c r="D25" s="8" t="s">
        <v>369</v>
      </c>
      <c r="E25" s="8">
        <v>169170</v>
      </c>
      <c r="F25" s="8" t="s">
        <v>370</v>
      </c>
      <c r="G25" s="8" t="s">
        <v>85</v>
      </c>
      <c r="H25" s="8" t="s">
        <v>118</v>
      </c>
      <c r="I25" s="8" t="s">
        <v>40</v>
      </c>
      <c r="J25" s="8" t="s">
        <v>86</v>
      </c>
      <c r="K25" s="8" t="s">
        <v>33</v>
      </c>
      <c r="L25" s="8" t="s">
        <v>54</v>
      </c>
      <c r="M25" s="8" t="s">
        <v>30</v>
      </c>
      <c r="N25" s="26">
        <v>41367</v>
      </c>
      <c r="O25" s="14">
        <v>8.6</v>
      </c>
      <c r="P25" s="8">
        <v>37</v>
      </c>
      <c r="Q25" s="19">
        <f t="shared" si="5"/>
        <v>318.2</v>
      </c>
      <c r="R25" s="20">
        <v>0.04</v>
      </c>
      <c r="S25" s="29">
        <f t="shared" si="2"/>
        <v>12.728</v>
      </c>
      <c r="T25" s="20">
        <f t="shared" si="3"/>
        <v>305.47199999999998</v>
      </c>
      <c r="U25" s="21">
        <v>6.19</v>
      </c>
      <c r="V25" s="31">
        <f t="shared" si="4"/>
        <v>311.66199999999998</v>
      </c>
    </row>
    <row r="26" spans="1:22" x14ac:dyDescent="0.3">
      <c r="A26" s="6" t="s">
        <v>371</v>
      </c>
      <c r="B26" s="6">
        <f t="shared" si="1"/>
        <v>1</v>
      </c>
      <c r="C26" s="7">
        <v>41360</v>
      </c>
      <c r="D26" s="8" t="s">
        <v>372</v>
      </c>
      <c r="E26" s="8">
        <v>17</v>
      </c>
      <c r="F26" s="8" t="s">
        <v>373</v>
      </c>
      <c r="G26" s="8" t="s">
        <v>38</v>
      </c>
      <c r="H26" s="8" t="s">
        <v>25</v>
      </c>
      <c r="I26" s="8" t="s">
        <v>26</v>
      </c>
      <c r="J26" s="8" t="s">
        <v>374</v>
      </c>
      <c r="K26" s="8" t="s">
        <v>33</v>
      </c>
      <c r="L26" s="8" t="s">
        <v>54</v>
      </c>
      <c r="M26" s="8" t="s">
        <v>30</v>
      </c>
      <c r="N26" s="26">
        <v>41360</v>
      </c>
      <c r="O26" s="14">
        <v>5.68</v>
      </c>
      <c r="P26" s="8">
        <v>24</v>
      </c>
      <c r="Q26" s="19">
        <f t="shared" si="5"/>
        <v>136.32</v>
      </c>
      <c r="R26" s="20">
        <v>0.06</v>
      </c>
      <c r="S26" s="29">
        <f t="shared" si="2"/>
        <v>8.1791999999999998</v>
      </c>
      <c r="T26" s="20">
        <f t="shared" si="3"/>
        <v>128.14079999999998</v>
      </c>
      <c r="U26" s="21">
        <v>1.39</v>
      </c>
      <c r="V26" s="31">
        <f t="shared" si="4"/>
        <v>129.53079999999997</v>
      </c>
    </row>
    <row r="27" spans="1:22" x14ac:dyDescent="0.3">
      <c r="A27" s="6" t="s">
        <v>375</v>
      </c>
      <c r="B27" s="6">
        <f t="shared" si="1"/>
        <v>1</v>
      </c>
      <c r="C27" s="7">
        <v>41363</v>
      </c>
      <c r="D27" s="8" t="s">
        <v>376</v>
      </c>
      <c r="E27" s="8">
        <v>17</v>
      </c>
      <c r="F27" s="8" t="s">
        <v>377</v>
      </c>
      <c r="G27" s="8" t="s">
        <v>24</v>
      </c>
      <c r="H27" s="8" t="s">
        <v>288</v>
      </c>
      <c r="I27" s="8" t="s">
        <v>49</v>
      </c>
      <c r="J27" s="8" t="s">
        <v>101</v>
      </c>
      <c r="K27" s="8" t="s">
        <v>33</v>
      </c>
      <c r="L27" s="8" t="s">
        <v>29</v>
      </c>
      <c r="M27" s="8" t="s">
        <v>30</v>
      </c>
      <c r="N27" s="26">
        <v>41364</v>
      </c>
      <c r="O27" s="14">
        <v>2.08</v>
      </c>
      <c r="P27" s="8">
        <v>4</v>
      </c>
      <c r="Q27" s="19">
        <f t="shared" si="5"/>
        <v>8.32</v>
      </c>
      <c r="R27" s="20">
        <v>0.02</v>
      </c>
      <c r="S27" s="29">
        <f t="shared" si="2"/>
        <v>0.16640000000000002</v>
      </c>
      <c r="T27" s="20">
        <f t="shared" si="3"/>
        <v>8.1536000000000008</v>
      </c>
      <c r="U27" s="21">
        <v>2.56</v>
      </c>
      <c r="V27" s="31">
        <f t="shared" si="4"/>
        <v>10.713600000000001</v>
      </c>
    </row>
    <row r="28" spans="1:22" x14ac:dyDescent="0.3">
      <c r="A28" s="6" t="s">
        <v>378</v>
      </c>
      <c r="B28" s="6">
        <f t="shared" si="1"/>
        <v>2</v>
      </c>
      <c r="C28" s="7">
        <v>41383</v>
      </c>
      <c r="D28" s="8" t="s">
        <v>379</v>
      </c>
      <c r="E28" s="8">
        <v>17</v>
      </c>
      <c r="F28" s="8" t="s">
        <v>380</v>
      </c>
      <c r="G28" s="8" t="s">
        <v>24</v>
      </c>
      <c r="H28" s="8" t="s">
        <v>48</v>
      </c>
      <c r="I28" s="8" t="s">
        <v>49</v>
      </c>
      <c r="J28" s="8" t="s">
        <v>86</v>
      </c>
      <c r="K28" s="8" t="s">
        <v>33</v>
      </c>
      <c r="L28" s="8" t="s">
        <v>54</v>
      </c>
      <c r="M28" s="8" t="s">
        <v>30</v>
      </c>
      <c r="N28" s="26">
        <v>41384</v>
      </c>
      <c r="O28" s="14">
        <v>8.6</v>
      </c>
      <c r="P28" s="8">
        <v>36</v>
      </c>
      <c r="Q28" s="19">
        <f t="shared" si="5"/>
        <v>309.59999999999997</v>
      </c>
      <c r="R28" s="20">
        <v>0.06</v>
      </c>
      <c r="S28" s="29">
        <f t="shared" si="2"/>
        <v>18.575999999999997</v>
      </c>
      <c r="T28" s="20">
        <f t="shared" si="3"/>
        <v>291.02399999999994</v>
      </c>
      <c r="U28" s="21">
        <v>6.19</v>
      </c>
      <c r="V28" s="31">
        <f t="shared" si="4"/>
        <v>297.21399999999994</v>
      </c>
    </row>
    <row r="29" spans="1:22" x14ac:dyDescent="0.3">
      <c r="A29" s="6" t="s">
        <v>381</v>
      </c>
      <c r="B29" s="6">
        <f t="shared" si="1"/>
        <v>2</v>
      </c>
      <c r="C29" s="7">
        <v>41384</v>
      </c>
      <c r="D29" s="8" t="s">
        <v>382</v>
      </c>
      <c r="E29" s="8">
        <v>17</v>
      </c>
      <c r="F29" s="8" t="s">
        <v>383</v>
      </c>
      <c r="G29" s="8" t="s">
        <v>38</v>
      </c>
      <c r="H29" s="8" t="s">
        <v>48</v>
      </c>
      <c r="I29" s="8" t="s">
        <v>49</v>
      </c>
      <c r="J29" s="8" t="s">
        <v>141</v>
      </c>
      <c r="K29" s="8" t="s">
        <v>33</v>
      </c>
      <c r="L29" s="8" t="s">
        <v>34</v>
      </c>
      <c r="M29" s="8" t="s">
        <v>30</v>
      </c>
      <c r="N29" s="26">
        <v>41386</v>
      </c>
      <c r="O29" s="14">
        <v>4</v>
      </c>
      <c r="P29" s="8">
        <v>31</v>
      </c>
      <c r="Q29" s="19">
        <f t="shared" si="5"/>
        <v>124</v>
      </c>
      <c r="R29" s="20">
        <v>0.01</v>
      </c>
      <c r="S29" s="29">
        <f t="shared" si="2"/>
        <v>1.24</v>
      </c>
      <c r="T29" s="20">
        <f t="shared" si="3"/>
        <v>122.76</v>
      </c>
      <c r="U29" s="21">
        <v>1.3</v>
      </c>
      <c r="V29" s="31">
        <f t="shared" si="4"/>
        <v>124.06</v>
      </c>
    </row>
    <row r="30" spans="1:22" x14ac:dyDescent="0.3">
      <c r="A30" s="6" t="s">
        <v>384</v>
      </c>
      <c r="B30" s="6">
        <f t="shared" si="1"/>
        <v>2</v>
      </c>
      <c r="C30" s="7">
        <v>41390</v>
      </c>
      <c r="D30" s="8" t="s">
        <v>385</v>
      </c>
      <c r="E30" s="8">
        <v>171172</v>
      </c>
      <c r="F30" s="8" t="s">
        <v>386</v>
      </c>
      <c r="G30" s="8" t="s">
        <v>24</v>
      </c>
      <c r="H30" s="8" t="s">
        <v>59</v>
      </c>
      <c r="I30" s="8" t="s">
        <v>60</v>
      </c>
      <c r="J30" s="8" t="s">
        <v>50</v>
      </c>
      <c r="K30" s="8" t="s">
        <v>28</v>
      </c>
      <c r="L30" s="8" t="s">
        <v>51</v>
      </c>
      <c r="M30" s="8" t="s">
        <v>30</v>
      </c>
      <c r="N30" s="26">
        <v>41390</v>
      </c>
      <c r="O30" s="14">
        <v>20.99</v>
      </c>
      <c r="P30" s="8">
        <v>19</v>
      </c>
      <c r="Q30" s="19">
        <f t="shared" si="5"/>
        <v>398.80999999999995</v>
      </c>
      <c r="R30" s="20">
        <v>0.01</v>
      </c>
      <c r="S30" s="29">
        <f t="shared" si="2"/>
        <v>3.9880999999999998</v>
      </c>
      <c r="T30" s="20">
        <f t="shared" si="3"/>
        <v>394.82189999999997</v>
      </c>
      <c r="U30" s="21">
        <v>4.8099999999999996</v>
      </c>
      <c r="V30" s="31">
        <f t="shared" si="4"/>
        <v>399.63189999999997</v>
      </c>
    </row>
    <row r="31" spans="1:22" x14ac:dyDescent="0.3">
      <c r="A31" s="6" t="s">
        <v>387</v>
      </c>
      <c r="B31" s="6">
        <f t="shared" si="1"/>
        <v>2</v>
      </c>
      <c r="C31" s="7">
        <v>41391</v>
      </c>
      <c r="D31" s="8" t="s">
        <v>388</v>
      </c>
      <c r="E31" s="8">
        <v>1718</v>
      </c>
      <c r="F31" s="8" t="s">
        <v>389</v>
      </c>
      <c r="G31" s="8" t="s">
        <v>85</v>
      </c>
      <c r="H31" s="8" t="s">
        <v>39</v>
      </c>
      <c r="I31" s="8" t="s">
        <v>136</v>
      </c>
      <c r="J31" s="8" t="s">
        <v>390</v>
      </c>
      <c r="K31" s="8" t="s">
        <v>33</v>
      </c>
      <c r="L31" s="8" t="s">
        <v>54</v>
      </c>
      <c r="M31" s="8" t="s">
        <v>42</v>
      </c>
      <c r="N31" s="26">
        <v>41392</v>
      </c>
      <c r="O31" s="14">
        <v>12.28</v>
      </c>
      <c r="P31" s="8">
        <v>29</v>
      </c>
      <c r="Q31" s="19">
        <f t="shared" si="5"/>
        <v>356.12</v>
      </c>
      <c r="R31" s="20">
        <v>0</v>
      </c>
      <c r="S31" s="29">
        <f t="shared" si="2"/>
        <v>0</v>
      </c>
      <c r="T31" s="20">
        <f t="shared" si="3"/>
        <v>356.12</v>
      </c>
      <c r="U31" s="21">
        <v>6.35</v>
      </c>
      <c r="V31" s="31">
        <f t="shared" si="4"/>
        <v>362.47</v>
      </c>
    </row>
    <row r="32" spans="1:22" x14ac:dyDescent="0.3">
      <c r="A32" s="6" t="s">
        <v>391</v>
      </c>
      <c r="B32" s="6">
        <f t="shared" si="1"/>
        <v>2</v>
      </c>
      <c r="C32" s="7">
        <v>41392</v>
      </c>
      <c r="D32" s="8" t="s">
        <v>392</v>
      </c>
      <c r="E32" s="8">
        <v>173174</v>
      </c>
      <c r="F32" s="8" t="s">
        <v>393</v>
      </c>
      <c r="G32" s="8" t="s">
        <v>24</v>
      </c>
      <c r="H32" s="8" t="s">
        <v>48</v>
      </c>
      <c r="I32" s="8" t="s">
        <v>26</v>
      </c>
      <c r="J32" s="8" t="s">
        <v>394</v>
      </c>
      <c r="K32" s="8" t="s">
        <v>33</v>
      </c>
      <c r="L32" s="8" t="s">
        <v>54</v>
      </c>
      <c r="M32" s="8" t="s">
        <v>30</v>
      </c>
      <c r="N32" s="26">
        <v>41394</v>
      </c>
      <c r="O32" s="14">
        <v>2.61</v>
      </c>
      <c r="P32" s="8">
        <v>9</v>
      </c>
      <c r="Q32" s="19">
        <f t="shared" si="5"/>
        <v>23.49</v>
      </c>
      <c r="R32" s="20">
        <v>0.06</v>
      </c>
      <c r="S32" s="29">
        <f t="shared" si="2"/>
        <v>1.4093999999999998</v>
      </c>
      <c r="T32" s="20">
        <f t="shared" si="3"/>
        <v>22.080599999999997</v>
      </c>
      <c r="U32" s="21">
        <v>0.5</v>
      </c>
      <c r="V32" s="31">
        <f t="shared" si="4"/>
        <v>22.580599999999997</v>
      </c>
    </row>
    <row r="33" spans="1:22" x14ac:dyDescent="0.3">
      <c r="A33" s="6" t="s">
        <v>395</v>
      </c>
      <c r="B33" s="6">
        <f t="shared" si="1"/>
        <v>2</v>
      </c>
      <c r="C33" s="7">
        <v>41392</v>
      </c>
      <c r="D33" s="8" t="s">
        <v>396</v>
      </c>
      <c r="E33" s="8">
        <v>175176</v>
      </c>
      <c r="F33" s="8" t="s">
        <v>397</v>
      </c>
      <c r="G33" s="8" t="s">
        <v>24</v>
      </c>
      <c r="H33" s="8" t="s">
        <v>398</v>
      </c>
      <c r="I33" s="8" t="s">
        <v>26</v>
      </c>
      <c r="J33" s="8" t="s">
        <v>70</v>
      </c>
      <c r="K33" s="8" t="s">
        <v>28</v>
      </c>
      <c r="L33" s="8" t="s">
        <v>54</v>
      </c>
      <c r="M33" s="8" t="s">
        <v>30</v>
      </c>
      <c r="N33" s="26">
        <v>41392</v>
      </c>
      <c r="O33" s="14">
        <v>19.98</v>
      </c>
      <c r="P33" s="8">
        <v>7</v>
      </c>
      <c r="Q33" s="19">
        <f t="shared" si="5"/>
        <v>139.86000000000001</v>
      </c>
      <c r="R33" s="20">
        <v>0.01</v>
      </c>
      <c r="S33" s="29">
        <f t="shared" si="2"/>
        <v>1.3986000000000001</v>
      </c>
      <c r="T33" s="20">
        <f t="shared" si="3"/>
        <v>138.46140000000003</v>
      </c>
      <c r="U33" s="21">
        <v>4</v>
      </c>
      <c r="V33" s="31">
        <f t="shared" si="4"/>
        <v>142.46140000000003</v>
      </c>
    </row>
    <row r="34" spans="1:22" x14ac:dyDescent="0.3">
      <c r="A34" s="6" t="s">
        <v>399</v>
      </c>
      <c r="B34" s="6">
        <f t="shared" si="1"/>
        <v>2</v>
      </c>
      <c r="C34" s="7">
        <v>41394</v>
      </c>
      <c r="D34" s="8" t="s">
        <v>400</v>
      </c>
      <c r="E34" s="8">
        <v>177178</v>
      </c>
      <c r="F34" s="8" t="s">
        <v>401</v>
      </c>
      <c r="G34" s="8" t="s">
        <v>24</v>
      </c>
      <c r="H34" s="8" t="s">
        <v>74</v>
      </c>
      <c r="I34" s="8" t="s">
        <v>26</v>
      </c>
      <c r="J34" s="8" t="s">
        <v>261</v>
      </c>
      <c r="K34" s="8" t="s">
        <v>28</v>
      </c>
      <c r="L34" s="8" t="s">
        <v>54</v>
      </c>
      <c r="M34" s="8" t="s">
        <v>42</v>
      </c>
      <c r="N34" s="26">
        <v>41395</v>
      </c>
      <c r="O34" s="14">
        <v>152.47999999999999</v>
      </c>
      <c r="P34" s="8">
        <v>16</v>
      </c>
      <c r="Q34" s="19">
        <f t="shared" si="5"/>
        <v>2439.6799999999998</v>
      </c>
      <c r="R34" s="20">
        <v>0.1</v>
      </c>
      <c r="S34" s="29">
        <f t="shared" si="2"/>
        <v>243.96799999999999</v>
      </c>
      <c r="T34" s="20">
        <f t="shared" si="3"/>
        <v>2195.712</v>
      </c>
      <c r="U34" s="21">
        <v>4</v>
      </c>
      <c r="V34" s="31">
        <f t="shared" si="4"/>
        <v>2199.712</v>
      </c>
    </row>
    <row r="35" spans="1:22" x14ac:dyDescent="0.3">
      <c r="A35" s="6" t="s">
        <v>402</v>
      </c>
      <c r="B35" s="6">
        <f t="shared" si="1"/>
        <v>2</v>
      </c>
      <c r="C35" s="7">
        <v>41394</v>
      </c>
      <c r="D35" s="8" t="s">
        <v>403</v>
      </c>
      <c r="E35" s="8">
        <v>179180</v>
      </c>
      <c r="F35" s="8" t="s">
        <v>404</v>
      </c>
      <c r="G35" s="8" t="s">
        <v>38</v>
      </c>
      <c r="H35" s="8" t="s">
        <v>59</v>
      </c>
      <c r="I35" s="8" t="s">
        <v>49</v>
      </c>
      <c r="J35" s="8" t="s">
        <v>390</v>
      </c>
      <c r="K35" s="8" t="s">
        <v>33</v>
      </c>
      <c r="L35" s="8" t="s">
        <v>54</v>
      </c>
      <c r="M35" s="8" t="s">
        <v>30</v>
      </c>
      <c r="N35" s="26">
        <v>41396</v>
      </c>
      <c r="O35" s="14">
        <v>12.28</v>
      </c>
      <c r="P35" s="8">
        <v>27</v>
      </c>
      <c r="Q35" s="19">
        <f t="shared" si="5"/>
        <v>331.56</v>
      </c>
      <c r="R35" s="20">
        <v>0.03</v>
      </c>
      <c r="S35" s="29">
        <f t="shared" si="2"/>
        <v>9.9467999999999996</v>
      </c>
      <c r="T35" s="20">
        <f t="shared" si="3"/>
        <v>321.61320000000001</v>
      </c>
      <c r="U35" s="21">
        <v>6.35</v>
      </c>
      <c r="V35" s="31">
        <f t="shared" si="4"/>
        <v>327.96320000000003</v>
      </c>
    </row>
    <row r="36" spans="1:22" x14ac:dyDescent="0.3">
      <c r="A36" s="6" t="s">
        <v>405</v>
      </c>
      <c r="B36" s="6">
        <f t="shared" si="1"/>
        <v>2</v>
      </c>
      <c r="C36" s="7">
        <v>41394</v>
      </c>
      <c r="D36" s="8" t="s">
        <v>406</v>
      </c>
      <c r="E36" s="8">
        <v>18</v>
      </c>
      <c r="F36" s="8" t="s">
        <v>407</v>
      </c>
      <c r="G36" s="8" t="s">
        <v>58</v>
      </c>
      <c r="H36" s="8" t="s">
        <v>298</v>
      </c>
      <c r="I36" s="8" t="s">
        <v>49</v>
      </c>
      <c r="J36" s="8" t="s">
        <v>408</v>
      </c>
      <c r="K36" s="8" t="s">
        <v>28</v>
      </c>
      <c r="L36" s="8" t="s">
        <v>54</v>
      </c>
      <c r="M36" s="8" t="s">
        <v>30</v>
      </c>
      <c r="N36" s="26">
        <v>41396</v>
      </c>
      <c r="O36" s="14">
        <v>15.98</v>
      </c>
      <c r="P36" s="8">
        <v>39</v>
      </c>
      <c r="Q36" s="19">
        <f t="shared" si="5"/>
        <v>623.22</v>
      </c>
      <c r="R36" s="20">
        <v>0.09</v>
      </c>
      <c r="S36" s="29">
        <f t="shared" si="2"/>
        <v>56.089800000000004</v>
      </c>
      <c r="T36" s="20">
        <f t="shared" si="3"/>
        <v>567.13020000000006</v>
      </c>
      <c r="U36" s="21">
        <v>4</v>
      </c>
      <c r="V36" s="31">
        <f t="shared" si="4"/>
        <v>571.13020000000006</v>
      </c>
    </row>
    <row r="37" spans="1:22" x14ac:dyDescent="0.3">
      <c r="A37" s="6" t="s">
        <v>409</v>
      </c>
      <c r="B37" s="6">
        <f t="shared" si="1"/>
        <v>2</v>
      </c>
      <c r="C37" s="7">
        <v>41395</v>
      </c>
      <c r="D37" s="8" t="s">
        <v>410</v>
      </c>
      <c r="E37" s="8">
        <v>18</v>
      </c>
      <c r="F37" s="8" t="s">
        <v>411</v>
      </c>
      <c r="G37" s="8" t="s">
        <v>24</v>
      </c>
      <c r="H37" s="8" t="s">
        <v>74</v>
      </c>
      <c r="I37" s="8" t="s">
        <v>49</v>
      </c>
      <c r="J37" s="8" t="s">
        <v>412</v>
      </c>
      <c r="K37" s="8" t="s">
        <v>33</v>
      </c>
      <c r="L37" s="8" t="s">
        <v>29</v>
      </c>
      <c r="M37" s="8" t="s">
        <v>30</v>
      </c>
      <c r="N37" s="26">
        <v>41397</v>
      </c>
      <c r="O37" s="14">
        <v>11.97</v>
      </c>
      <c r="P37" s="8">
        <v>7</v>
      </c>
      <c r="Q37" s="19">
        <f t="shared" si="5"/>
        <v>83.79</v>
      </c>
      <c r="R37" s="20">
        <v>0.05</v>
      </c>
      <c r="S37" s="29">
        <f t="shared" si="2"/>
        <v>4.1895000000000007</v>
      </c>
      <c r="T37" s="20">
        <f t="shared" si="3"/>
        <v>79.600500000000011</v>
      </c>
      <c r="U37" s="21">
        <v>5.81</v>
      </c>
      <c r="V37" s="31">
        <f t="shared" si="4"/>
        <v>85.410500000000013</v>
      </c>
    </row>
    <row r="38" spans="1:22" x14ac:dyDescent="0.3">
      <c r="A38" s="6" t="s">
        <v>413</v>
      </c>
      <c r="B38" s="6">
        <f t="shared" si="1"/>
        <v>2</v>
      </c>
      <c r="C38" s="7">
        <v>41396</v>
      </c>
      <c r="D38" s="8" t="s">
        <v>414</v>
      </c>
      <c r="E38" s="8">
        <v>18</v>
      </c>
      <c r="F38" s="8" t="s">
        <v>415</v>
      </c>
      <c r="G38" s="8" t="s">
        <v>85</v>
      </c>
      <c r="H38" s="8" t="s">
        <v>74</v>
      </c>
      <c r="I38" s="8" t="s">
        <v>49</v>
      </c>
      <c r="J38" s="8" t="s">
        <v>416</v>
      </c>
      <c r="K38" s="8" t="s">
        <v>33</v>
      </c>
      <c r="L38" s="8" t="s">
        <v>54</v>
      </c>
      <c r="M38" s="8" t="s">
        <v>30</v>
      </c>
      <c r="N38" s="26">
        <v>41397</v>
      </c>
      <c r="O38" s="14">
        <v>14.28</v>
      </c>
      <c r="P38" s="8">
        <v>42</v>
      </c>
      <c r="Q38" s="19">
        <f t="shared" si="5"/>
        <v>599.76</v>
      </c>
      <c r="R38" s="20">
        <v>0.1</v>
      </c>
      <c r="S38" s="29">
        <f t="shared" si="2"/>
        <v>59.975999999999999</v>
      </c>
      <c r="T38" s="20">
        <f t="shared" si="3"/>
        <v>539.78399999999999</v>
      </c>
      <c r="U38" s="21">
        <v>2.99</v>
      </c>
      <c r="V38" s="31">
        <f t="shared" si="4"/>
        <v>542.774</v>
      </c>
    </row>
    <row r="39" spans="1:22" x14ac:dyDescent="0.3">
      <c r="A39" s="6" t="s">
        <v>417</v>
      </c>
      <c r="B39" s="6">
        <f t="shared" si="1"/>
        <v>2</v>
      </c>
      <c r="C39" s="7">
        <v>41396</v>
      </c>
      <c r="D39" s="8" t="s">
        <v>418</v>
      </c>
      <c r="E39" s="8">
        <v>181182</v>
      </c>
      <c r="F39" s="8" t="s">
        <v>419</v>
      </c>
      <c r="G39" s="8" t="s">
        <v>38</v>
      </c>
      <c r="H39" s="8" t="s">
        <v>99</v>
      </c>
      <c r="I39" s="8" t="s">
        <v>60</v>
      </c>
      <c r="J39" s="8" t="s">
        <v>324</v>
      </c>
      <c r="K39" s="8" t="s">
        <v>33</v>
      </c>
      <c r="L39" s="8" t="s">
        <v>54</v>
      </c>
      <c r="M39" s="8" t="s">
        <v>30</v>
      </c>
      <c r="N39" s="26">
        <v>41397</v>
      </c>
      <c r="O39" s="14">
        <v>90.48</v>
      </c>
      <c r="P39" s="8">
        <v>15</v>
      </c>
      <c r="Q39" s="19">
        <f t="shared" si="5"/>
        <v>1357.2</v>
      </c>
      <c r="R39" s="20">
        <v>0.05</v>
      </c>
      <c r="S39" s="29">
        <f t="shared" si="2"/>
        <v>67.86</v>
      </c>
      <c r="T39" s="20">
        <f t="shared" si="3"/>
        <v>1289.3400000000001</v>
      </c>
      <c r="U39" s="21">
        <v>19.989999999999998</v>
      </c>
      <c r="V39" s="31">
        <f t="shared" si="4"/>
        <v>1309.3300000000002</v>
      </c>
    </row>
    <row r="40" spans="1:22" x14ac:dyDescent="0.3">
      <c r="A40" s="6" t="s">
        <v>420</v>
      </c>
      <c r="B40" s="6">
        <f t="shared" si="1"/>
        <v>2</v>
      </c>
      <c r="C40" s="7">
        <v>41397</v>
      </c>
      <c r="D40" s="8" t="s">
        <v>421</v>
      </c>
      <c r="E40" s="8">
        <v>183184</v>
      </c>
      <c r="F40" s="8" t="s">
        <v>422</v>
      </c>
      <c r="G40" s="8" t="s">
        <v>38</v>
      </c>
      <c r="H40" s="8" t="s">
        <v>398</v>
      </c>
      <c r="I40" s="8" t="s">
        <v>60</v>
      </c>
      <c r="J40" s="8" t="s">
        <v>374</v>
      </c>
      <c r="K40" s="8" t="s">
        <v>33</v>
      </c>
      <c r="L40" s="8" t="s">
        <v>54</v>
      </c>
      <c r="M40" s="8" t="s">
        <v>30</v>
      </c>
      <c r="N40" s="26">
        <v>41399</v>
      </c>
      <c r="O40" s="14">
        <v>5.68</v>
      </c>
      <c r="P40" s="8">
        <v>20</v>
      </c>
      <c r="Q40" s="19">
        <f t="shared" si="5"/>
        <v>113.6</v>
      </c>
      <c r="R40" s="20">
        <v>7.0000000000000007E-2</v>
      </c>
      <c r="S40" s="29">
        <f t="shared" si="2"/>
        <v>7.952</v>
      </c>
      <c r="T40" s="20">
        <f t="shared" si="3"/>
        <v>105.648</v>
      </c>
      <c r="U40" s="21">
        <v>1.39</v>
      </c>
      <c r="V40" s="31">
        <f t="shared" si="4"/>
        <v>107.038</v>
      </c>
    </row>
    <row r="41" spans="1:22" x14ac:dyDescent="0.3">
      <c r="A41" s="6" t="s">
        <v>423</v>
      </c>
      <c r="B41" s="6">
        <f t="shared" si="1"/>
        <v>2</v>
      </c>
      <c r="C41" s="7">
        <v>41398</v>
      </c>
      <c r="D41" s="8" t="s">
        <v>424</v>
      </c>
      <c r="E41" s="8">
        <v>185186</v>
      </c>
      <c r="F41" s="8" t="s">
        <v>425</v>
      </c>
      <c r="G41" s="8" t="s">
        <v>24</v>
      </c>
      <c r="H41" s="8" t="s">
        <v>118</v>
      </c>
      <c r="I41" s="8" t="s">
        <v>60</v>
      </c>
      <c r="J41" s="8" t="s">
        <v>32</v>
      </c>
      <c r="K41" s="8" t="s">
        <v>33</v>
      </c>
      <c r="L41" s="8" t="s">
        <v>34</v>
      </c>
      <c r="M41" s="8" t="s">
        <v>30</v>
      </c>
      <c r="N41" s="26">
        <v>41400</v>
      </c>
      <c r="O41" s="14">
        <v>6.68</v>
      </c>
      <c r="P41" s="8">
        <v>41</v>
      </c>
      <c r="Q41" s="19">
        <f t="shared" si="5"/>
        <v>273.88</v>
      </c>
      <c r="R41" s="20">
        <v>0.08</v>
      </c>
      <c r="S41" s="29">
        <f t="shared" si="2"/>
        <v>21.910399999999999</v>
      </c>
      <c r="T41" s="20">
        <f t="shared" si="3"/>
        <v>251.96959999999999</v>
      </c>
      <c r="U41" s="21">
        <v>1.5</v>
      </c>
      <c r="V41" s="31">
        <f t="shared" si="4"/>
        <v>253.46959999999999</v>
      </c>
    </row>
    <row r="42" spans="1:22" x14ac:dyDescent="0.3">
      <c r="A42" s="6" t="s">
        <v>21</v>
      </c>
      <c r="B42" s="6">
        <f t="shared" si="1"/>
        <v>2</v>
      </c>
      <c r="C42" s="7">
        <v>41399</v>
      </c>
      <c r="D42" s="8" t="s">
        <v>22</v>
      </c>
      <c r="E42" s="8">
        <v>1</v>
      </c>
      <c r="F42" s="8" t="s">
        <v>23</v>
      </c>
      <c r="G42" s="8" t="s">
        <v>24</v>
      </c>
      <c r="H42" s="8" t="s">
        <v>25</v>
      </c>
      <c r="I42" s="8" t="s">
        <v>26</v>
      </c>
      <c r="J42" s="8" t="s">
        <v>27</v>
      </c>
      <c r="K42" s="8" t="s">
        <v>28</v>
      </c>
      <c r="L42" s="8" t="s">
        <v>29</v>
      </c>
      <c r="M42" s="8" t="s">
        <v>30</v>
      </c>
      <c r="N42" s="26">
        <v>41400</v>
      </c>
      <c r="O42" s="14">
        <v>8.1199999999999992</v>
      </c>
      <c r="P42" s="8">
        <v>41</v>
      </c>
      <c r="Q42" s="19">
        <f t="shared" si="5"/>
        <v>332.91999999999996</v>
      </c>
      <c r="R42" s="20">
        <v>0.06</v>
      </c>
      <c r="S42" s="29">
        <f t="shared" si="2"/>
        <v>19.975199999999997</v>
      </c>
      <c r="T42" s="20">
        <f t="shared" si="3"/>
        <v>312.94479999999999</v>
      </c>
      <c r="U42" s="21">
        <v>2.83</v>
      </c>
      <c r="V42" s="31">
        <f t="shared" si="4"/>
        <v>315.77479999999997</v>
      </c>
    </row>
    <row r="43" spans="1:22" x14ac:dyDescent="0.3">
      <c r="A43" s="6" t="s">
        <v>31</v>
      </c>
      <c r="B43" s="6">
        <f t="shared" si="1"/>
        <v>2</v>
      </c>
      <c r="C43" s="7">
        <v>41399</v>
      </c>
      <c r="D43" s="8" t="s">
        <v>22</v>
      </c>
      <c r="E43" s="8">
        <v>1</v>
      </c>
      <c r="F43" s="8" t="s">
        <v>23</v>
      </c>
      <c r="G43" s="8" t="s">
        <v>24</v>
      </c>
      <c r="H43" s="8" t="s">
        <v>25</v>
      </c>
      <c r="I43" s="8" t="s">
        <v>26</v>
      </c>
      <c r="J43" s="8" t="s">
        <v>32</v>
      </c>
      <c r="K43" s="8" t="s">
        <v>33</v>
      </c>
      <c r="L43" s="8" t="s">
        <v>34</v>
      </c>
      <c r="M43" s="8" t="s">
        <v>30</v>
      </c>
      <c r="N43" s="26">
        <v>41400</v>
      </c>
      <c r="O43" s="14">
        <v>6.68</v>
      </c>
      <c r="P43" s="8">
        <v>2</v>
      </c>
      <c r="Q43" s="19">
        <f t="shared" si="5"/>
        <v>13.36</v>
      </c>
      <c r="R43" s="20">
        <v>0.01</v>
      </c>
      <c r="S43" s="29">
        <f t="shared" si="2"/>
        <v>0.1336</v>
      </c>
      <c r="T43" s="20">
        <f t="shared" si="3"/>
        <v>13.2264</v>
      </c>
      <c r="U43" s="21">
        <v>1.5</v>
      </c>
      <c r="V43" s="31">
        <f t="shared" si="4"/>
        <v>14.7264</v>
      </c>
    </row>
    <row r="44" spans="1:22" x14ac:dyDescent="0.3">
      <c r="A44" s="6" t="s">
        <v>1075</v>
      </c>
      <c r="B44" s="6">
        <f t="shared" si="1"/>
        <v>2</v>
      </c>
      <c r="C44" s="7">
        <v>41399</v>
      </c>
      <c r="D44" s="8" t="s">
        <v>22</v>
      </c>
      <c r="E44" s="8">
        <v>215906.71957611499</v>
      </c>
      <c r="F44" s="8" t="s">
        <v>23</v>
      </c>
      <c r="G44" s="8" t="s">
        <v>24</v>
      </c>
      <c r="H44" s="8" t="s">
        <v>25</v>
      </c>
      <c r="I44" s="8" t="s">
        <v>26</v>
      </c>
      <c r="J44" s="8" t="s">
        <v>27</v>
      </c>
      <c r="K44" s="8" t="s">
        <v>28</v>
      </c>
      <c r="L44" s="8" t="s">
        <v>29</v>
      </c>
      <c r="M44" s="8" t="s">
        <v>30</v>
      </c>
      <c r="N44" s="26">
        <v>41400</v>
      </c>
      <c r="O44" s="14">
        <v>55.793079329915102</v>
      </c>
      <c r="P44" s="8">
        <v>26.564125109910801</v>
      </c>
      <c r="Q44" s="19">
        <f t="shared" si="5"/>
        <v>1482.0943395870431</v>
      </c>
      <c r="R44" s="20">
        <v>4.95231298032454E-2</v>
      </c>
      <c r="S44" s="29">
        <f t="shared" si="2"/>
        <v>73.39795036002441</v>
      </c>
      <c r="T44" s="20">
        <f t="shared" si="3"/>
        <v>1408.6963892270187</v>
      </c>
      <c r="U44" s="21">
        <v>7.2020491943679898</v>
      </c>
      <c r="V44" s="31">
        <f t="shared" si="4"/>
        <v>1415.8984384213868</v>
      </c>
    </row>
    <row r="45" spans="1:22" x14ac:dyDescent="0.3">
      <c r="A45" s="6" t="s">
        <v>1075</v>
      </c>
      <c r="B45" s="6">
        <f t="shared" si="1"/>
        <v>2</v>
      </c>
      <c r="C45" s="7">
        <v>41399</v>
      </c>
      <c r="D45" s="8" t="s">
        <v>22</v>
      </c>
      <c r="E45" s="8">
        <v>215906.71957611499</v>
      </c>
      <c r="F45" s="8" t="s">
        <v>23</v>
      </c>
      <c r="G45" s="8" t="s">
        <v>24</v>
      </c>
      <c r="H45" s="8" t="s">
        <v>25</v>
      </c>
      <c r="I45" s="8" t="s">
        <v>26</v>
      </c>
      <c r="J45" s="8" t="s">
        <v>27</v>
      </c>
      <c r="K45" s="8" t="s">
        <v>28</v>
      </c>
      <c r="L45" s="8" t="s">
        <v>29</v>
      </c>
      <c r="M45" s="8" t="s">
        <v>30</v>
      </c>
      <c r="N45" s="26">
        <v>41400</v>
      </c>
      <c r="O45" s="14">
        <v>55.793079329915102</v>
      </c>
      <c r="P45" s="8">
        <v>26.564125109910801</v>
      </c>
      <c r="Q45" s="19">
        <f t="shared" si="5"/>
        <v>1482.0943395870431</v>
      </c>
      <c r="R45" s="20">
        <v>4.95231298032454E-2</v>
      </c>
      <c r="S45" s="29">
        <f t="shared" si="2"/>
        <v>73.39795036002441</v>
      </c>
      <c r="T45" s="20">
        <f t="shared" si="3"/>
        <v>1408.6963892270187</v>
      </c>
      <c r="U45" s="21">
        <v>7.2020491943679898</v>
      </c>
      <c r="V45" s="31">
        <f t="shared" si="4"/>
        <v>1415.8984384213868</v>
      </c>
    </row>
    <row r="46" spans="1:22" x14ac:dyDescent="0.3">
      <c r="A46" s="6" t="s">
        <v>1075</v>
      </c>
      <c r="B46" s="6">
        <f t="shared" si="1"/>
        <v>2</v>
      </c>
      <c r="C46" s="7">
        <v>41399</v>
      </c>
      <c r="D46" s="8" t="s">
        <v>22</v>
      </c>
      <c r="E46" s="8">
        <v>215906.71957611499</v>
      </c>
      <c r="F46" s="8" t="s">
        <v>23</v>
      </c>
      <c r="G46" s="8" t="s">
        <v>24</v>
      </c>
      <c r="H46" s="8" t="s">
        <v>25</v>
      </c>
      <c r="I46" s="8" t="s">
        <v>26</v>
      </c>
      <c r="J46" s="8" t="s">
        <v>27</v>
      </c>
      <c r="K46" s="8" t="s">
        <v>28</v>
      </c>
      <c r="L46" s="8" t="s">
        <v>29</v>
      </c>
      <c r="M46" s="8" t="s">
        <v>30</v>
      </c>
      <c r="N46" s="26">
        <v>41400</v>
      </c>
      <c r="O46" s="14">
        <v>55.793079329915102</v>
      </c>
      <c r="P46" s="8">
        <v>26.564125109910801</v>
      </c>
      <c r="Q46" s="19">
        <f t="shared" si="5"/>
        <v>1482.0943395870431</v>
      </c>
      <c r="R46" s="20">
        <v>4.95231298032454E-2</v>
      </c>
      <c r="S46" s="29">
        <f t="shared" si="2"/>
        <v>73.39795036002441</v>
      </c>
      <c r="T46" s="20">
        <f t="shared" si="3"/>
        <v>1408.6963892270187</v>
      </c>
      <c r="U46" s="21">
        <v>7.2020491943679898</v>
      </c>
      <c r="V46" s="31">
        <f t="shared" si="4"/>
        <v>1415.8984384213868</v>
      </c>
    </row>
    <row r="47" spans="1:22" x14ac:dyDescent="0.3">
      <c r="A47" s="6" t="s">
        <v>1075</v>
      </c>
      <c r="B47" s="6">
        <f t="shared" si="1"/>
        <v>2</v>
      </c>
      <c r="C47" s="7">
        <v>41399</v>
      </c>
      <c r="D47" s="8" t="s">
        <v>22</v>
      </c>
      <c r="E47" s="8">
        <v>215906.71957611499</v>
      </c>
      <c r="F47" s="8" t="s">
        <v>23</v>
      </c>
      <c r="G47" s="8" t="s">
        <v>24</v>
      </c>
      <c r="H47" s="8" t="s">
        <v>25</v>
      </c>
      <c r="I47" s="8" t="s">
        <v>26</v>
      </c>
      <c r="J47" s="8" t="s">
        <v>27</v>
      </c>
      <c r="K47" s="8" t="s">
        <v>28</v>
      </c>
      <c r="L47" s="8" t="s">
        <v>29</v>
      </c>
      <c r="M47" s="8" t="s">
        <v>30</v>
      </c>
      <c r="N47" s="26">
        <v>41400</v>
      </c>
      <c r="O47" s="14">
        <v>55.793079329915102</v>
      </c>
      <c r="P47" s="8">
        <v>26.564125109910801</v>
      </c>
      <c r="Q47" s="19">
        <f t="shared" si="5"/>
        <v>1482.0943395870431</v>
      </c>
      <c r="R47" s="20">
        <v>4.95231298032454E-2</v>
      </c>
      <c r="S47" s="29">
        <f t="shared" si="2"/>
        <v>73.39795036002441</v>
      </c>
      <c r="T47" s="20">
        <f t="shared" si="3"/>
        <v>1408.6963892270187</v>
      </c>
      <c r="U47" s="21">
        <v>7.2020491943679898</v>
      </c>
      <c r="V47" s="31">
        <f t="shared" si="4"/>
        <v>1415.8984384213868</v>
      </c>
    </row>
    <row r="48" spans="1:22" x14ac:dyDescent="0.3">
      <c r="A48" s="6" t="s">
        <v>1076</v>
      </c>
      <c r="B48" s="6">
        <f t="shared" si="1"/>
        <v>2</v>
      </c>
      <c r="C48" s="7">
        <v>41399</v>
      </c>
      <c r="D48" s="8" t="s">
        <v>22</v>
      </c>
      <c r="E48" s="8">
        <v>216294.65227872299</v>
      </c>
      <c r="F48" s="8" t="s">
        <v>23</v>
      </c>
      <c r="G48" s="8" t="s">
        <v>24</v>
      </c>
      <c r="H48" s="8" t="s">
        <v>25</v>
      </c>
      <c r="I48" s="8" t="s">
        <v>26</v>
      </c>
      <c r="J48" s="8" t="s">
        <v>32</v>
      </c>
      <c r="K48" s="8" t="s">
        <v>33</v>
      </c>
      <c r="L48" s="8" t="s">
        <v>34</v>
      </c>
      <c r="M48" s="8" t="s">
        <v>30</v>
      </c>
      <c r="N48" s="26">
        <v>41400</v>
      </c>
      <c r="O48" s="14">
        <v>55.838464149090399</v>
      </c>
      <c r="P48" s="8">
        <v>26.567186462576501</v>
      </c>
      <c r="Q48" s="19">
        <f t="shared" si="5"/>
        <v>1483.4708888327777</v>
      </c>
      <c r="R48" s="20">
        <v>4.9506880131550399E-2</v>
      </c>
      <c r="S48" s="29">
        <f t="shared" si="2"/>
        <v>73.442015472088855</v>
      </c>
      <c r="T48" s="20">
        <f t="shared" si="3"/>
        <v>1410.028873360689</v>
      </c>
      <c r="U48" s="21">
        <v>7.2073101173415104</v>
      </c>
      <c r="V48" s="31">
        <f t="shared" si="4"/>
        <v>1417.2361834780304</v>
      </c>
    </row>
    <row r="49" spans="1:22" x14ac:dyDescent="0.3">
      <c r="A49" s="6" t="s">
        <v>1076</v>
      </c>
      <c r="B49" s="6">
        <f t="shared" si="1"/>
        <v>2</v>
      </c>
      <c r="C49" s="7">
        <v>41399</v>
      </c>
      <c r="D49" s="8" t="s">
        <v>22</v>
      </c>
      <c r="E49" s="8">
        <v>216294.65227872299</v>
      </c>
      <c r="F49" s="8" t="s">
        <v>23</v>
      </c>
      <c r="G49" s="8" t="s">
        <v>24</v>
      </c>
      <c r="H49" s="8" t="s">
        <v>25</v>
      </c>
      <c r="I49" s="8" t="s">
        <v>26</v>
      </c>
      <c r="J49" s="8" t="s">
        <v>32</v>
      </c>
      <c r="K49" s="8" t="s">
        <v>33</v>
      </c>
      <c r="L49" s="8" t="s">
        <v>34</v>
      </c>
      <c r="M49" s="8" t="s">
        <v>30</v>
      </c>
      <c r="N49" s="26">
        <v>41400</v>
      </c>
      <c r="O49" s="14">
        <v>55.838464149090399</v>
      </c>
      <c r="P49" s="8">
        <v>26.567186462576501</v>
      </c>
      <c r="Q49" s="19">
        <f t="shared" si="5"/>
        <v>1483.4708888327777</v>
      </c>
      <c r="R49" s="20">
        <v>4.9506880131550399E-2</v>
      </c>
      <c r="S49" s="29">
        <f t="shared" si="2"/>
        <v>73.442015472088855</v>
      </c>
      <c r="T49" s="20">
        <f t="shared" si="3"/>
        <v>1410.028873360689</v>
      </c>
      <c r="U49" s="21">
        <v>7.2073101173415104</v>
      </c>
      <c r="V49" s="31">
        <f t="shared" si="4"/>
        <v>1417.2361834780304</v>
      </c>
    </row>
    <row r="50" spans="1:22" x14ac:dyDescent="0.3">
      <c r="A50" s="6" t="s">
        <v>1076</v>
      </c>
      <c r="B50" s="6">
        <f t="shared" si="1"/>
        <v>2</v>
      </c>
      <c r="C50" s="7">
        <v>41399</v>
      </c>
      <c r="D50" s="8" t="s">
        <v>22</v>
      </c>
      <c r="E50" s="8">
        <v>216294.65227872299</v>
      </c>
      <c r="F50" s="8" t="s">
        <v>23</v>
      </c>
      <c r="G50" s="8" t="s">
        <v>24</v>
      </c>
      <c r="H50" s="8" t="s">
        <v>25</v>
      </c>
      <c r="I50" s="8" t="s">
        <v>26</v>
      </c>
      <c r="J50" s="8" t="s">
        <v>32</v>
      </c>
      <c r="K50" s="8" t="s">
        <v>33</v>
      </c>
      <c r="L50" s="8" t="s">
        <v>34</v>
      </c>
      <c r="M50" s="8" t="s">
        <v>30</v>
      </c>
      <c r="N50" s="26">
        <v>41400</v>
      </c>
      <c r="O50" s="14">
        <v>55.838464149090399</v>
      </c>
      <c r="P50" s="8">
        <v>26.567186462576501</v>
      </c>
      <c r="Q50" s="19">
        <f t="shared" si="5"/>
        <v>1483.4708888327777</v>
      </c>
      <c r="R50" s="20">
        <v>4.9506880131550399E-2</v>
      </c>
      <c r="S50" s="29">
        <f t="shared" si="2"/>
        <v>73.442015472088855</v>
      </c>
      <c r="T50" s="20">
        <f t="shared" si="3"/>
        <v>1410.028873360689</v>
      </c>
      <c r="U50" s="21">
        <v>7.2073101173415104</v>
      </c>
      <c r="V50" s="31">
        <f t="shared" si="4"/>
        <v>1417.2361834780304</v>
      </c>
    </row>
    <row r="51" spans="1:22" x14ac:dyDescent="0.3">
      <c r="A51" s="6" t="s">
        <v>1076</v>
      </c>
      <c r="B51" s="6">
        <f t="shared" si="1"/>
        <v>2</v>
      </c>
      <c r="C51" s="7">
        <v>41399</v>
      </c>
      <c r="D51" s="8" t="s">
        <v>22</v>
      </c>
      <c r="E51" s="8">
        <v>216294.65227872299</v>
      </c>
      <c r="F51" s="8" t="s">
        <v>23</v>
      </c>
      <c r="G51" s="8" t="s">
        <v>24</v>
      </c>
      <c r="H51" s="8" t="s">
        <v>25</v>
      </c>
      <c r="I51" s="8" t="s">
        <v>26</v>
      </c>
      <c r="J51" s="8" t="s">
        <v>32</v>
      </c>
      <c r="K51" s="8" t="s">
        <v>33</v>
      </c>
      <c r="L51" s="8" t="s">
        <v>34</v>
      </c>
      <c r="M51" s="8" t="s">
        <v>30</v>
      </c>
      <c r="N51" s="26">
        <v>41400</v>
      </c>
      <c r="O51" s="14">
        <v>55.838464149090399</v>
      </c>
      <c r="P51" s="8">
        <v>26.567186462576501</v>
      </c>
      <c r="Q51" s="19">
        <f t="shared" si="5"/>
        <v>1483.4708888327777</v>
      </c>
      <c r="R51" s="20">
        <v>4.9506880131550399E-2</v>
      </c>
      <c r="S51" s="29">
        <f t="shared" si="2"/>
        <v>73.442015472088855</v>
      </c>
      <c r="T51" s="20">
        <f t="shared" si="3"/>
        <v>1410.028873360689</v>
      </c>
      <c r="U51" s="21">
        <v>7.2073101173415104</v>
      </c>
      <c r="V51" s="31">
        <f t="shared" si="4"/>
        <v>1417.2361834780304</v>
      </c>
    </row>
    <row r="52" spans="1:22" x14ac:dyDescent="0.3">
      <c r="A52" s="6" t="s">
        <v>426</v>
      </c>
      <c r="B52" s="6">
        <f t="shared" si="1"/>
        <v>2</v>
      </c>
      <c r="C52" s="7">
        <v>41399</v>
      </c>
      <c r="D52" s="8" t="s">
        <v>427</v>
      </c>
      <c r="E52" s="8">
        <v>187188</v>
      </c>
      <c r="F52" s="8" t="s">
        <v>428</v>
      </c>
      <c r="G52" s="8" t="s">
        <v>24</v>
      </c>
      <c r="H52" s="8" t="s">
        <v>74</v>
      </c>
      <c r="I52" s="8" t="s">
        <v>40</v>
      </c>
      <c r="J52" s="8" t="s">
        <v>408</v>
      </c>
      <c r="K52" s="8" t="s">
        <v>28</v>
      </c>
      <c r="L52" s="8" t="s">
        <v>54</v>
      </c>
      <c r="M52" s="8" t="s">
        <v>30</v>
      </c>
      <c r="N52" s="26">
        <v>41404</v>
      </c>
      <c r="O52" s="14">
        <v>15.98</v>
      </c>
      <c r="P52" s="8">
        <v>34</v>
      </c>
      <c r="Q52" s="19">
        <f t="shared" si="5"/>
        <v>543.32000000000005</v>
      </c>
      <c r="R52" s="20">
        <v>0.1</v>
      </c>
      <c r="S52" s="29">
        <f t="shared" si="2"/>
        <v>54.332000000000008</v>
      </c>
      <c r="T52" s="20">
        <f t="shared" si="3"/>
        <v>488.98800000000006</v>
      </c>
      <c r="U52" s="21">
        <v>4</v>
      </c>
      <c r="V52" s="31">
        <f t="shared" si="4"/>
        <v>492.98800000000006</v>
      </c>
    </row>
    <row r="53" spans="1:22" x14ac:dyDescent="0.3">
      <c r="A53" s="6" t="s">
        <v>429</v>
      </c>
      <c r="B53" s="6">
        <f t="shared" si="1"/>
        <v>2</v>
      </c>
      <c r="C53" s="7">
        <v>41401</v>
      </c>
      <c r="D53" s="8" t="s">
        <v>430</v>
      </c>
      <c r="E53" s="8">
        <v>189190</v>
      </c>
      <c r="F53" s="8" t="s">
        <v>431</v>
      </c>
      <c r="G53" s="8" t="s">
        <v>38</v>
      </c>
      <c r="H53" s="8" t="s">
        <v>99</v>
      </c>
      <c r="I53" s="8" t="s">
        <v>49</v>
      </c>
      <c r="J53" s="8" t="s">
        <v>412</v>
      </c>
      <c r="K53" s="8" t="s">
        <v>33</v>
      </c>
      <c r="L53" s="8" t="s">
        <v>29</v>
      </c>
      <c r="M53" s="8" t="s">
        <v>30</v>
      </c>
      <c r="N53" s="26">
        <v>41403</v>
      </c>
      <c r="O53" s="14">
        <v>11.97</v>
      </c>
      <c r="P53" s="8">
        <v>18</v>
      </c>
      <c r="Q53" s="19">
        <f t="shared" si="5"/>
        <v>215.46</v>
      </c>
      <c r="R53" s="20">
        <v>0.08</v>
      </c>
      <c r="S53" s="29">
        <f t="shared" si="2"/>
        <v>17.236800000000002</v>
      </c>
      <c r="T53" s="20">
        <f t="shared" si="3"/>
        <v>198.22320000000002</v>
      </c>
      <c r="U53" s="21">
        <v>5.81</v>
      </c>
      <c r="V53" s="31">
        <f t="shared" si="4"/>
        <v>204.03320000000002</v>
      </c>
    </row>
    <row r="54" spans="1:22" x14ac:dyDescent="0.3">
      <c r="A54" s="6" t="s">
        <v>432</v>
      </c>
      <c r="B54" s="6">
        <f t="shared" si="1"/>
        <v>2</v>
      </c>
      <c r="C54" s="7">
        <v>41403</v>
      </c>
      <c r="D54" s="8" t="s">
        <v>433</v>
      </c>
      <c r="E54" s="8">
        <v>19</v>
      </c>
      <c r="F54" s="8" t="s">
        <v>434</v>
      </c>
      <c r="G54" s="8" t="s">
        <v>85</v>
      </c>
      <c r="H54" s="8" t="s">
        <v>99</v>
      </c>
      <c r="I54" s="8" t="s">
        <v>60</v>
      </c>
      <c r="J54" s="8" t="s">
        <v>50</v>
      </c>
      <c r="K54" s="8" t="s">
        <v>28</v>
      </c>
      <c r="L54" s="8" t="s">
        <v>51</v>
      </c>
      <c r="M54" s="8" t="s">
        <v>42</v>
      </c>
      <c r="N54" s="26">
        <v>41404</v>
      </c>
      <c r="O54" s="14">
        <v>20.99</v>
      </c>
      <c r="P54" s="8">
        <v>8</v>
      </c>
      <c r="Q54" s="19">
        <f t="shared" si="5"/>
        <v>167.92</v>
      </c>
      <c r="R54" s="20">
        <v>0.09</v>
      </c>
      <c r="S54" s="29">
        <f t="shared" si="2"/>
        <v>15.112799999999998</v>
      </c>
      <c r="T54" s="20">
        <f t="shared" si="3"/>
        <v>152.80719999999999</v>
      </c>
      <c r="U54" s="21">
        <v>4.8099999999999996</v>
      </c>
      <c r="V54" s="31">
        <f t="shared" si="4"/>
        <v>157.6172</v>
      </c>
    </row>
    <row r="55" spans="1:22" x14ac:dyDescent="0.3">
      <c r="A55" s="6" t="s">
        <v>435</v>
      </c>
      <c r="B55" s="6">
        <f t="shared" si="1"/>
        <v>2</v>
      </c>
      <c r="C55" s="7">
        <v>41403</v>
      </c>
      <c r="D55" s="8" t="s">
        <v>436</v>
      </c>
      <c r="E55" s="8">
        <v>19</v>
      </c>
      <c r="F55" s="8" t="s">
        <v>437</v>
      </c>
      <c r="G55" s="8" t="s">
        <v>58</v>
      </c>
      <c r="H55" s="8" t="s">
        <v>48</v>
      </c>
      <c r="I55" s="8" t="s">
        <v>60</v>
      </c>
      <c r="J55" s="8" t="s">
        <v>320</v>
      </c>
      <c r="K55" s="8" t="s">
        <v>33</v>
      </c>
      <c r="L55" s="8" t="s">
        <v>34</v>
      </c>
      <c r="M55" s="8" t="s">
        <v>30</v>
      </c>
      <c r="N55" s="26">
        <v>41405</v>
      </c>
      <c r="O55" s="14">
        <v>1.68</v>
      </c>
      <c r="P55" s="8">
        <v>18</v>
      </c>
      <c r="Q55" s="19">
        <f t="shared" si="5"/>
        <v>30.24</v>
      </c>
      <c r="R55" s="20">
        <v>0.06</v>
      </c>
      <c r="S55" s="29">
        <f t="shared" si="2"/>
        <v>1.8143999999999998</v>
      </c>
      <c r="T55" s="20">
        <f t="shared" si="3"/>
        <v>28.425599999999999</v>
      </c>
      <c r="U55" s="21">
        <v>1</v>
      </c>
      <c r="V55" s="31">
        <f t="shared" si="4"/>
        <v>29.425599999999999</v>
      </c>
    </row>
    <row r="56" spans="1:22" x14ac:dyDescent="0.3">
      <c r="A56" s="6" t="s">
        <v>438</v>
      </c>
      <c r="B56" s="6">
        <f t="shared" si="1"/>
        <v>2</v>
      </c>
      <c r="C56" s="7">
        <v>41404</v>
      </c>
      <c r="D56" s="8" t="s">
        <v>385</v>
      </c>
      <c r="E56" s="8">
        <v>171172</v>
      </c>
      <c r="F56" s="8" t="s">
        <v>386</v>
      </c>
      <c r="G56" s="8" t="s">
        <v>24</v>
      </c>
      <c r="H56" s="8" t="s">
        <v>59</v>
      </c>
      <c r="I56" s="8" t="s">
        <v>49</v>
      </c>
      <c r="J56" s="8" t="s">
        <v>283</v>
      </c>
      <c r="K56" s="8" t="s">
        <v>28</v>
      </c>
      <c r="L56" s="8" t="s">
        <v>54</v>
      </c>
      <c r="M56" s="8" t="s">
        <v>30</v>
      </c>
      <c r="N56" s="26">
        <v>41405</v>
      </c>
      <c r="O56" s="14">
        <v>100.97</v>
      </c>
      <c r="P56" s="8">
        <v>15</v>
      </c>
      <c r="Q56" s="19">
        <f t="shared" si="5"/>
        <v>1514.55</v>
      </c>
      <c r="R56" s="20">
        <v>0.1</v>
      </c>
      <c r="S56" s="29">
        <f t="shared" si="2"/>
        <v>151.45500000000001</v>
      </c>
      <c r="T56" s="20">
        <f t="shared" si="3"/>
        <v>1363.095</v>
      </c>
      <c r="U56" s="21">
        <v>7.18</v>
      </c>
      <c r="V56" s="31">
        <f t="shared" si="4"/>
        <v>1370.2750000000001</v>
      </c>
    </row>
    <row r="57" spans="1:22" x14ac:dyDescent="0.3">
      <c r="A57" s="6" t="s">
        <v>439</v>
      </c>
      <c r="B57" s="6">
        <f t="shared" si="1"/>
        <v>2</v>
      </c>
      <c r="C57" s="7">
        <v>41407</v>
      </c>
      <c r="D57" s="8" t="s">
        <v>293</v>
      </c>
      <c r="E57" s="8">
        <v>147148</v>
      </c>
      <c r="F57" s="8" t="s">
        <v>294</v>
      </c>
      <c r="G57" s="8" t="s">
        <v>85</v>
      </c>
      <c r="H57" s="8" t="s">
        <v>48</v>
      </c>
      <c r="I57" s="8" t="s">
        <v>26</v>
      </c>
      <c r="J57" s="8" t="s">
        <v>141</v>
      </c>
      <c r="K57" s="8" t="s">
        <v>33</v>
      </c>
      <c r="L57" s="8" t="s">
        <v>34</v>
      </c>
      <c r="M57" s="8" t="s">
        <v>42</v>
      </c>
      <c r="N57" s="26">
        <v>41409</v>
      </c>
      <c r="O57" s="14">
        <v>4</v>
      </c>
      <c r="P57" s="8">
        <v>19</v>
      </c>
      <c r="Q57" s="19">
        <f t="shared" si="5"/>
        <v>76</v>
      </c>
      <c r="R57" s="20">
        <v>0.09</v>
      </c>
      <c r="S57" s="29">
        <f t="shared" si="2"/>
        <v>6.84</v>
      </c>
      <c r="T57" s="20">
        <f t="shared" si="3"/>
        <v>69.16</v>
      </c>
      <c r="U57" s="21">
        <v>1.3</v>
      </c>
      <c r="V57" s="31">
        <f t="shared" si="4"/>
        <v>70.459999999999994</v>
      </c>
    </row>
    <row r="58" spans="1:22" x14ac:dyDescent="0.3">
      <c r="A58" s="6" t="s">
        <v>440</v>
      </c>
      <c r="B58" s="6">
        <f t="shared" si="1"/>
        <v>2</v>
      </c>
      <c r="C58" s="7">
        <v>41408</v>
      </c>
      <c r="D58" s="8" t="s">
        <v>441</v>
      </c>
      <c r="E58" s="8">
        <v>19</v>
      </c>
      <c r="F58" s="8" t="s">
        <v>442</v>
      </c>
      <c r="G58" s="8" t="s">
        <v>85</v>
      </c>
      <c r="H58" s="8" t="s">
        <v>48</v>
      </c>
      <c r="I58" s="8" t="s">
        <v>136</v>
      </c>
      <c r="J58" s="8" t="s">
        <v>171</v>
      </c>
      <c r="K58" s="8" t="s">
        <v>33</v>
      </c>
      <c r="L58" s="8" t="s">
        <v>54</v>
      </c>
      <c r="M58" s="8" t="s">
        <v>30</v>
      </c>
      <c r="N58" s="26">
        <v>41409</v>
      </c>
      <c r="O58" s="14">
        <v>22.38</v>
      </c>
      <c r="P58" s="8">
        <v>26</v>
      </c>
      <c r="Q58" s="19">
        <f t="shared" si="5"/>
        <v>581.88</v>
      </c>
      <c r="R58" s="20">
        <v>0.1</v>
      </c>
      <c r="S58" s="29">
        <f t="shared" si="2"/>
        <v>58.188000000000002</v>
      </c>
      <c r="T58" s="20">
        <f t="shared" si="3"/>
        <v>523.69200000000001</v>
      </c>
      <c r="U58" s="21">
        <v>15.1</v>
      </c>
      <c r="V58" s="31">
        <f t="shared" si="4"/>
        <v>538.79200000000003</v>
      </c>
    </row>
    <row r="59" spans="1:22" x14ac:dyDescent="0.3">
      <c r="A59" s="6" t="s">
        <v>443</v>
      </c>
      <c r="B59" s="6">
        <f t="shared" si="1"/>
        <v>2</v>
      </c>
      <c r="C59" s="7">
        <v>41408</v>
      </c>
      <c r="D59" s="8" t="s">
        <v>444</v>
      </c>
      <c r="E59" s="8">
        <v>19</v>
      </c>
      <c r="F59" s="8" t="s">
        <v>445</v>
      </c>
      <c r="G59" s="8" t="s">
        <v>24</v>
      </c>
      <c r="H59" s="8" t="s">
        <v>130</v>
      </c>
      <c r="I59" s="8" t="s">
        <v>49</v>
      </c>
      <c r="J59" s="8" t="s">
        <v>446</v>
      </c>
      <c r="K59" s="8" t="s">
        <v>33</v>
      </c>
      <c r="L59" s="8" t="s">
        <v>34</v>
      </c>
      <c r="M59" s="8" t="s">
        <v>30</v>
      </c>
      <c r="N59" s="26">
        <v>41410</v>
      </c>
      <c r="O59" s="14">
        <v>36.549999999999997</v>
      </c>
      <c r="P59" s="8">
        <v>45</v>
      </c>
      <c r="Q59" s="19">
        <f t="shared" si="5"/>
        <v>1644.7499999999998</v>
      </c>
      <c r="R59" s="20">
        <v>0.1</v>
      </c>
      <c r="S59" s="29">
        <f t="shared" si="2"/>
        <v>164.47499999999999</v>
      </c>
      <c r="T59" s="20">
        <f t="shared" si="3"/>
        <v>1480.2749999999999</v>
      </c>
      <c r="U59" s="21">
        <v>13.89</v>
      </c>
      <c r="V59" s="31">
        <f t="shared" si="4"/>
        <v>1494.165</v>
      </c>
    </row>
    <row r="60" spans="1:22" x14ac:dyDescent="0.3">
      <c r="A60" s="6" t="s">
        <v>447</v>
      </c>
      <c r="B60" s="6">
        <f t="shared" si="1"/>
        <v>2</v>
      </c>
      <c r="C60" s="7">
        <v>41409</v>
      </c>
      <c r="D60" s="8" t="s">
        <v>448</v>
      </c>
      <c r="E60" s="8">
        <v>191192</v>
      </c>
      <c r="F60" s="8" t="s">
        <v>449</v>
      </c>
      <c r="G60" s="8" t="s">
        <v>58</v>
      </c>
      <c r="H60" s="8" t="s">
        <v>25</v>
      </c>
      <c r="I60" s="8" t="s">
        <v>136</v>
      </c>
      <c r="J60" s="8" t="s">
        <v>150</v>
      </c>
      <c r="K60" s="8" t="s">
        <v>28</v>
      </c>
      <c r="L60" s="8" t="s">
        <v>54</v>
      </c>
      <c r="M60" s="8" t="s">
        <v>42</v>
      </c>
      <c r="N60" s="26">
        <v>41410</v>
      </c>
      <c r="O60" s="14">
        <v>45.99</v>
      </c>
      <c r="P60" s="8">
        <v>14</v>
      </c>
      <c r="Q60" s="19">
        <f t="shared" si="5"/>
        <v>643.86</v>
      </c>
      <c r="R60" s="20">
        <v>0.02</v>
      </c>
      <c r="S60" s="29">
        <f t="shared" si="2"/>
        <v>12.8772</v>
      </c>
      <c r="T60" s="20">
        <f t="shared" si="3"/>
        <v>630.9828</v>
      </c>
      <c r="U60" s="21">
        <v>4.99</v>
      </c>
      <c r="V60" s="31">
        <f t="shared" si="4"/>
        <v>635.97280000000001</v>
      </c>
    </row>
    <row r="61" spans="1:22" x14ac:dyDescent="0.3">
      <c r="A61" s="6" t="s">
        <v>450</v>
      </c>
      <c r="B61" s="6">
        <f t="shared" si="1"/>
        <v>2</v>
      </c>
      <c r="C61" s="7">
        <v>41412</v>
      </c>
      <c r="D61" s="8" t="s">
        <v>451</v>
      </c>
      <c r="E61" s="8">
        <v>1920</v>
      </c>
      <c r="F61" s="8" t="s">
        <v>452</v>
      </c>
      <c r="G61" s="8" t="s">
        <v>24</v>
      </c>
      <c r="H61" s="8" t="s">
        <v>130</v>
      </c>
      <c r="I61" s="8" t="s">
        <v>49</v>
      </c>
      <c r="J61" s="8" t="s">
        <v>324</v>
      </c>
      <c r="K61" s="8" t="s">
        <v>33</v>
      </c>
      <c r="L61" s="8" t="s">
        <v>54</v>
      </c>
      <c r="M61" s="8" t="s">
        <v>30</v>
      </c>
      <c r="N61" s="26">
        <v>41414</v>
      </c>
      <c r="O61" s="14">
        <v>90.48</v>
      </c>
      <c r="P61" s="8">
        <v>11</v>
      </c>
      <c r="Q61" s="19">
        <f t="shared" si="5"/>
        <v>995.28000000000009</v>
      </c>
      <c r="R61" s="20">
        <v>0.04</v>
      </c>
      <c r="S61" s="29">
        <f t="shared" si="2"/>
        <v>39.811200000000007</v>
      </c>
      <c r="T61" s="20">
        <f t="shared" si="3"/>
        <v>955.4688000000001</v>
      </c>
      <c r="U61" s="21">
        <v>19.989999999999998</v>
      </c>
      <c r="V61" s="31">
        <f t="shared" si="4"/>
        <v>975.45880000000011</v>
      </c>
    </row>
    <row r="62" spans="1:22" x14ac:dyDescent="0.3">
      <c r="A62" s="6" t="s">
        <v>453</v>
      </c>
      <c r="B62" s="6">
        <f t="shared" si="1"/>
        <v>2</v>
      </c>
      <c r="C62" s="7">
        <v>41413</v>
      </c>
      <c r="D62" s="8" t="s">
        <v>454</v>
      </c>
      <c r="E62" s="8">
        <v>193194</v>
      </c>
      <c r="F62" s="8" t="s">
        <v>455</v>
      </c>
      <c r="G62" s="8" t="s">
        <v>85</v>
      </c>
      <c r="H62" s="8" t="s">
        <v>25</v>
      </c>
      <c r="I62" s="8" t="s">
        <v>136</v>
      </c>
      <c r="J62" s="8" t="s">
        <v>456</v>
      </c>
      <c r="K62" s="8" t="s">
        <v>28</v>
      </c>
      <c r="L62" s="8" t="s">
        <v>51</v>
      </c>
      <c r="M62" s="8" t="s">
        <v>30</v>
      </c>
      <c r="N62" s="26">
        <v>41414</v>
      </c>
      <c r="O62" s="14">
        <v>15.99</v>
      </c>
      <c r="P62" s="8">
        <v>7</v>
      </c>
      <c r="Q62" s="19">
        <f t="shared" si="5"/>
        <v>111.93</v>
      </c>
      <c r="R62" s="20">
        <v>0.03</v>
      </c>
      <c r="S62" s="29">
        <f t="shared" si="2"/>
        <v>3.3578999999999999</v>
      </c>
      <c r="T62" s="20">
        <f t="shared" si="3"/>
        <v>108.57210000000001</v>
      </c>
      <c r="U62" s="21">
        <v>11.28</v>
      </c>
      <c r="V62" s="31">
        <f t="shared" si="4"/>
        <v>119.85210000000001</v>
      </c>
    </row>
    <row r="63" spans="1:22" x14ac:dyDescent="0.3">
      <c r="A63" s="6" t="s">
        <v>457</v>
      </c>
      <c r="B63" s="6">
        <f t="shared" si="1"/>
        <v>2</v>
      </c>
      <c r="C63" s="7">
        <v>41413</v>
      </c>
      <c r="D63" s="8" t="s">
        <v>414</v>
      </c>
      <c r="E63" s="8">
        <v>18</v>
      </c>
      <c r="F63" s="8" t="s">
        <v>415</v>
      </c>
      <c r="G63" s="8" t="s">
        <v>85</v>
      </c>
      <c r="H63" s="8" t="s">
        <v>74</v>
      </c>
      <c r="I63" s="8" t="s">
        <v>49</v>
      </c>
      <c r="J63" s="8" t="s">
        <v>458</v>
      </c>
      <c r="K63" s="8" t="s">
        <v>33</v>
      </c>
      <c r="L63" s="8" t="s">
        <v>34</v>
      </c>
      <c r="M63" s="8" t="s">
        <v>30</v>
      </c>
      <c r="N63" s="26">
        <v>41414</v>
      </c>
      <c r="O63" s="14">
        <v>7.08</v>
      </c>
      <c r="P63" s="8">
        <v>29</v>
      </c>
      <c r="Q63" s="19">
        <f t="shared" si="5"/>
        <v>205.32</v>
      </c>
      <c r="R63" s="20">
        <v>0.04</v>
      </c>
      <c r="S63" s="29">
        <f t="shared" si="2"/>
        <v>8.2127999999999997</v>
      </c>
      <c r="T63" s="20">
        <f t="shared" si="3"/>
        <v>197.10720000000001</v>
      </c>
      <c r="U63" s="21">
        <v>2.35</v>
      </c>
      <c r="V63" s="31">
        <f t="shared" si="4"/>
        <v>199.4572</v>
      </c>
    </row>
    <row r="64" spans="1:22" x14ac:dyDescent="0.3">
      <c r="A64" s="6" t="s">
        <v>459</v>
      </c>
      <c r="B64" s="6">
        <f t="shared" si="1"/>
        <v>2</v>
      </c>
      <c r="C64" s="7">
        <v>41414</v>
      </c>
      <c r="D64" s="8" t="s">
        <v>460</v>
      </c>
      <c r="E64" s="8">
        <v>195196</v>
      </c>
      <c r="F64" s="8" t="s">
        <v>461</v>
      </c>
      <c r="G64" s="8" t="s">
        <v>24</v>
      </c>
      <c r="H64" s="8" t="s">
        <v>118</v>
      </c>
      <c r="I64" s="8" t="s">
        <v>136</v>
      </c>
      <c r="J64" s="8" t="s">
        <v>253</v>
      </c>
      <c r="K64" s="8" t="s">
        <v>243</v>
      </c>
      <c r="L64" s="8" t="s">
        <v>29</v>
      </c>
      <c r="M64" s="8" t="s">
        <v>30</v>
      </c>
      <c r="N64" s="26">
        <v>41415</v>
      </c>
      <c r="O64" s="14">
        <v>12.22</v>
      </c>
      <c r="P64" s="8">
        <v>35</v>
      </c>
      <c r="Q64" s="19">
        <f t="shared" si="5"/>
        <v>427.70000000000005</v>
      </c>
      <c r="R64" s="20">
        <v>0</v>
      </c>
      <c r="S64" s="29">
        <f t="shared" si="2"/>
        <v>0</v>
      </c>
      <c r="T64" s="20">
        <f t="shared" si="3"/>
        <v>427.70000000000005</v>
      </c>
      <c r="U64" s="21">
        <v>2.85</v>
      </c>
      <c r="V64" s="31">
        <f t="shared" si="4"/>
        <v>430.55000000000007</v>
      </c>
    </row>
    <row r="65" spans="1:22" x14ac:dyDescent="0.3">
      <c r="A65" s="6" t="s">
        <v>462</v>
      </c>
      <c r="B65" s="6">
        <f t="shared" si="1"/>
        <v>2</v>
      </c>
      <c r="C65" s="7">
        <v>41414</v>
      </c>
      <c r="D65" s="8" t="s">
        <v>463</v>
      </c>
      <c r="E65" s="8">
        <v>197198</v>
      </c>
      <c r="F65" s="8" t="s">
        <v>464</v>
      </c>
      <c r="G65" s="8" t="s">
        <v>38</v>
      </c>
      <c r="H65" s="8" t="s">
        <v>288</v>
      </c>
      <c r="I65" s="8" t="s">
        <v>49</v>
      </c>
      <c r="J65" s="8" t="s">
        <v>465</v>
      </c>
      <c r="K65" s="8" t="s">
        <v>33</v>
      </c>
      <c r="L65" s="8" t="s">
        <v>54</v>
      </c>
      <c r="M65" s="8" t="s">
        <v>30</v>
      </c>
      <c r="N65" s="26">
        <v>41416</v>
      </c>
      <c r="O65" s="14">
        <v>20.98</v>
      </c>
      <c r="P65" s="8">
        <v>47</v>
      </c>
      <c r="Q65" s="19">
        <f t="shared" si="5"/>
        <v>986.06000000000006</v>
      </c>
      <c r="R65" s="20">
        <v>0.1</v>
      </c>
      <c r="S65" s="29">
        <f t="shared" si="2"/>
        <v>98.606000000000009</v>
      </c>
      <c r="T65" s="20">
        <f t="shared" si="3"/>
        <v>887.45400000000006</v>
      </c>
      <c r="U65" s="21">
        <v>1.49</v>
      </c>
      <c r="V65" s="31">
        <f t="shared" si="4"/>
        <v>888.94400000000007</v>
      </c>
    </row>
    <row r="66" spans="1:22" x14ac:dyDescent="0.3">
      <c r="A66" s="6" t="s">
        <v>466</v>
      </c>
      <c r="B66" s="6">
        <f t="shared" si="1"/>
        <v>2</v>
      </c>
      <c r="C66" s="7">
        <v>41415</v>
      </c>
      <c r="D66" s="8" t="s">
        <v>427</v>
      </c>
      <c r="E66" s="8">
        <v>187188</v>
      </c>
      <c r="F66" s="8" t="s">
        <v>428</v>
      </c>
      <c r="G66" s="8" t="s">
        <v>58</v>
      </c>
      <c r="H66" s="8" t="s">
        <v>74</v>
      </c>
      <c r="I66" s="8" t="s">
        <v>136</v>
      </c>
      <c r="J66" s="8" t="s">
        <v>347</v>
      </c>
      <c r="K66" s="8" t="s">
        <v>33</v>
      </c>
      <c r="L66" s="8" t="s">
        <v>29</v>
      </c>
      <c r="M66" s="8" t="s">
        <v>30</v>
      </c>
      <c r="N66" s="26">
        <v>41415</v>
      </c>
      <c r="O66" s="14">
        <v>8.34</v>
      </c>
      <c r="P66" s="8">
        <v>24</v>
      </c>
      <c r="Q66" s="19">
        <f t="shared" si="5"/>
        <v>200.16</v>
      </c>
      <c r="R66" s="20">
        <v>0.1</v>
      </c>
      <c r="S66" s="29">
        <f t="shared" si="2"/>
        <v>20.016000000000002</v>
      </c>
      <c r="T66" s="20">
        <f t="shared" si="3"/>
        <v>180.14400000000001</v>
      </c>
      <c r="U66" s="21">
        <v>2.64</v>
      </c>
      <c r="V66" s="31">
        <f t="shared" si="4"/>
        <v>182.78399999999999</v>
      </c>
    </row>
    <row r="67" spans="1:22" x14ac:dyDescent="0.3">
      <c r="A67" s="6" t="s">
        <v>467</v>
      </c>
      <c r="B67" s="6">
        <f t="shared" ref="B67:B130" si="6">INT((MONTH(C67) +2)/3)</f>
        <v>2</v>
      </c>
      <c r="C67" s="7">
        <v>41416</v>
      </c>
      <c r="D67" s="8" t="s">
        <v>358</v>
      </c>
      <c r="E67" s="8">
        <v>163164</v>
      </c>
      <c r="F67" s="8" t="s">
        <v>359</v>
      </c>
      <c r="G67" s="8" t="s">
        <v>38</v>
      </c>
      <c r="H67" s="8" t="s">
        <v>25</v>
      </c>
      <c r="I67" s="8" t="s">
        <v>60</v>
      </c>
      <c r="J67" s="8" t="s">
        <v>289</v>
      </c>
      <c r="K67" s="8" t="s">
        <v>33</v>
      </c>
      <c r="L67" s="8" t="s">
        <v>54</v>
      </c>
      <c r="M67" s="8" t="s">
        <v>42</v>
      </c>
      <c r="N67" s="26">
        <v>41417</v>
      </c>
      <c r="O67" s="14">
        <v>7.28</v>
      </c>
      <c r="P67" s="8">
        <v>2</v>
      </c>
      <c r="Q67" s="19">
        <f t="shared" si="5"/>
        <v>14.56</v>
      </c>
      <c r="R67" s="20">
        <v>0.08</v>
      </c>
      <c r="S67" s="29">
        <f t="shared" ref="S67:S130" si="7">PRODUCT(Q67,R67)</f>
        <v>1.1648000000000001</v>
      </c>
      <c r="T67" s="20">
        <f t="shared" ref="T67:T130" si="8">SUM(Q67,-S67)</f>
        <v>13.395200000000001</v>
      </c>
      <c r="U67" s="21">
        <v>11.15</v>
      </c>
      <c r="V67" s="31">
        <f t="shared" ref="V67:V130" si="9">SUM(T67,U67)</f>
        <v>24.545200000000001</v>
      </c>
    </row>
    <row r="68" spans="1:22" x14ac:dyDescent="0.3">
      <c r="A68" s="6" t="s">
        <v>468</v>
      </c>
      <c r="B68" s="6">
        <f t="shared" si="6"/>
        <v>2</v>
      </c>
      <c r="C68" s="7">
        <v>41416</v>
      </c>
      <c r="D68" s="8" t="s">
        <v>469</v>
      </c>
      <c r="E68" s="8">
        <v>199200</v>
      </c>
      <c r="F68" s="8" t="s">
        <v>160</v>
      </c>
      <c r="G68" s="8" t="s">
        <v>24</v>
      </c>
      <c r="H68" s="8" t="s">
        <v>74</v>
      </c>
      <c r="I68" s="8" t="s">
        <v>60</v>
      </c>
      <c r="J68" s="8" t="s">
        <v>145</v>
      </c>
      <c r="K68" s="8" t="s">
        <v>33</v>
      </c>
      <c r="L68" s="8" t="s">
        <v>54</v>
      </c>
      <c r="M68" s="8" t="s">
        <v>30</v>
      </c>
      <c r="N68" s="26">
        <v>41418</v>
      </c>
      <c r="O68" s="14">
        <v>1.88</v>
      </c>
      <c r="P68" s="8">
        <v>1</v>
      </c>
      <c r="Q68" s="19">
        <f t="shared" si="5"/>
        <v>1.88</v>
      </c>
      <c r="R68" s="20">
        <v>0.05</v>
      </c>
      <c r="S68" s="29">
        <f t="shared" si="7"/>
        <v>9.4E-2</v>
      </c>
      <c r="T68" s="20">
        <f t="shared" si="8"/>
        <v>1.7859999999999998</v>
      </c>
      <c r="U68" s="21">
        <v>1.49</v>
      </c>
      <c r="V68" s="31">
        <f t="shared" si="9"/>
        <v>3.2759999999999998</v>
      </c>
    </row>
    <row r="69" spans="1:22" x14ac:dyDescent="0.3">
      <c r="A69" s="6" t="s">
        <v>470</v>
      </c>
      <c r="B69" s="6">
        <f t="shared" si="6"/>
        <v>2</v>
      </c>
      <c r="C69" s="7">
        <v>41417</v>
      </c>
      <c r="D69" s="8" t="s">
        <v>471</v>
      </c>
      <c r="E69" s="8">
        <v>20</v>
      </c>
      <c r="F69" s="8" t="s">
        <v>472</v>
      </c>
      <c r="G69" s="8" t="s">
        <v>85</v>
      </c>
      <c r="H69" s="8" t="s">
        <v>25</v>
      </c>
      <c r="I69" s="8" t="s">
        <v>26</v>
      </c>
      <c r="J69" s="8" t="s">
        <v>473</v>
      </c>
      <c r="K69" s="8" t="s">
        <v>28</v>
      </c>
      <c r="L69" s="8" t="s">
        <v>54</v>
      </c>
      <c r="M69" s="8" t="s">
        <v>42</v>
      </c>
      <c r="N69" s="26">
        <v>41419</v>
      </c>
      <c r="O69" s="14">
        <v>29.1</v>
      </c>
      <c r="P69" s="8">
        <v>33</v>
      </c>
      <c r="Q69" s="19">
        <f t="shared" si="5"/>
        <v>960.30000000000007</v>
      </c>
      <c r="R69" s="20">
        <v>0.01</v>
      </c>
      <c r="S69" s="29">
        <f t="shared" si="7"/>
        <v>9.6030000000000015</v>
      </c>
      <c r="T69" s="20">
        <f t="shared" si="8"/>
        <v>950.69700000000012</v>
      </c>
      <c r="U69" s="21">
        <v>4</v>
      </c>
      <c r="V69" s="31">
        <f t="shared" si="9"/>
        <v>954.69700000000012</v>
      </c>
    </row>
    <row r="70" spans="1:22" x14ac:dyDescent="0.3">
      <c r="A70" s="6" t="s">
        <v>474</v>
      </c>
      <c r="B70" s="6">
        <f t="shared" si="6"/>
        <v>2</v>
      </c>
      <c r="C70" s="7">
        <v>41420</v>
      </c>
      <c r="D70" s="8" t="s">
        <v>475</v>
      </c>
      <c r="E70" s="8">
        <v>20</v>
      </c>
      <c r="F70" s="8" t="s">
        <v>476</v>
      </c>
      <c r="G70" s="8" t="s">
        <v>38</v>
      </c>
      <c r="H70" s="8" t="s">
        <v>99</v>
      </c>
      <c r="I70" s="8" t="s">
        <v>60</v>
      </c>
      <c r="J70" s="8" t="s">
        <v>477</v>
      </c>
      <c r="K70" s="8" t="s">
        <v>33</v>
      </c>
      <c r="L70" s="8" t="s">
        <v>54</v>
      </c>
      <c r="M70" s="8" t="s">
        <v>30</v>
      </c>
      <c r="N70" s="26">
        <v>41420</v>
      </c>
      <c r="O70" s="14">
        <v>6.3</v>
      </c>
      <c r="P70" s="8">
        <v>42</v>
      </c>
      <c r="Q70" s="19">
        <f t="shared" si="5"/>
        <v>264.59999999999997</v>
      </c>
      <c r="R70" s="20">
        <v>7.0000000000000007E-2</v>
      </c>
      <c r="S70" s="29">
        <f t="shared" si="7"/>
        <v>18.521999999999998</v>
      </c>
      <c r="T70" s="20">
        <f t="shared" si="8"/>
        <v>246.07799999999997</v>
      </c>
      <c r="U70" s="21">
        <v>0.5</v>
      </c>
      <c r="V70" s="31">
        <f t="shared" si="9"/>
        <v>246.57799999999997</v>
      </c>
    </row>
    <row r="71" spans="1:22" x14ac:dyDescent="0.3">
      <c r="A71" s="6" t="s">
        <v>478</v>
      </c>
      <c r="B71" s="6">
        <f t="shared" si="6"/>
        <v>2</v>
      </c>
      <c r="C71" s="7">
        <v>41421</v>
      </c>
      <c r="D71" s="8" t="s">
        <v>479</v>
      </c>
      <c r="E71" s="8">
        <v>20</v>
      </c>
      <c r="F71" s="8" t="s">
        <v>480</v>
      </c>
      <c r="G71" s="8" t="s">
        <v>85</v>
      </c>
      <c r="H71" s="8" t="s">
        <v>25</v>
      </c>
      <c r="I71" s="8" t="s">
        <v>26</v>
      </c>
      <c r="J71" s="8" t="s">
        <v>481</v>
      </c>
      <c r="K71" s="8" t="s">
        <v>28</v>
      </c>
      <c r="L71" s="8" t="s">
        <v>54</v>
      </c>
      <c r="M71" s="8" t="s">
        <v>30</v>
      </c>
      <c r="N71" s="26">
        <v>41422</v>
      </c>
      <c r="O71" s="14">
        <v>300.97000000000003</v>
      </c>
      <c r="P71" s="8">
        <v>14</v>
      </c>
      <c r="Q71" s="19">
        <f t="shared" si="5"/>
        <v>4213.58</v>
      </c>
      <c r="R71" s="20">
        <v>0.1</v>
      </c>
      <c r="S71" s="29">
        <f t="shared" si="7"/>
        <v>421.358</v>
      </c>
      <c r="T71" s="20">
        <f t="shared" si="8"/>
        <v>3792.2219999999998</v>
      </c>
      <c r="U71" s="21">
        <v>7.18</v>
      </c>
      <c r="V71" s="31">
        <f t="shared" si="9"/>
        <v>3799.4019999999996</v>
      </c>
    </row>
    <row r="72" spans="1:22" x14ac:dyDescent="0.3">
      <c r="A72" s="6" t="s">
        <v>482</v>
      </c>
      <c r="B72" s="6">
        <f t="shared" si="6"/>
        <v>2</v>
      </c>
      <c r="C72" s="7">
        <v>41422</v>
      </c>
      <c r="D72" s="8" t="s">
        <v>483</v>
      </c>
      <c r="E72" s="8">
        <v>201202</v>
      </c>
      <c r="F72" s="8" t="s">
        <v>79</v>
      </c>
      <c r="G72" s="8" t="s">
        <v>24</v>
      </c>
      <c r="H72" s="8" t="s">
        <v>99</v>
      </c>
      <c r="I72" s="8" t="s">
        <v>40</v>
      </c>
      <c r="J72" s="8" t="s">
        <v>88</v>
      </c>
      <c r="K72" s="8" t="s">
        <v>33</v>
      </c>
      <c r="L72" s="8" t="s">
        <v>34</v>
      </c>
      <c r="M72" s="8" t="s">
        <v>30</v>
      </c>
      <c r="N72" s="26">
        <v>41426</v>
      </c>
      <c r="O72" s="14">
        <v>3.58</v>
      </c>
      <c r="P72" s="8">
        <v>38</v>
      </c>
      <c r="Q72" s="19">
        <f t="shared" si="5"/>
        <v>136.04</v>
      </c>
      <c r="R72" s="20">
        <v>0.06</v>
      </c>
      <c r="S72" s="29">
        <f t="shared" si="7"/>
        <v>8.1623999999999999</v>
      </c>
      <c r="T72" s="20">
        <f t="shared" si="8"/>
        <v>127.87759999999999</v>
      </c>
      <c r="U72" s="21">
        <v>1.63</v>
      </c>
      <c r="V72" s="31">
        <f t="shared" si="9"/>
        <v>129.5076</v>
      </c>
    </row>
    <row r="73" spans="1:22" x14ac:dyDescent="0.3">
      <c r="A73" s="6" t="s">
        <v>484</v>
      </c>
      <c r="B73" s="6">
        <f t="shared" si="6"/>
        <v>2</v>
      </c>
      <c r="C73" s="7">
        <v>41423</v>
      </c>
      <c r="D73" s="8" t="s">
        <v>143</v>
      </c>
      <c r="E73" s="8">
        <v>113114</v>
      </c>
      <c r="F73" s="8" t="s">
        <v>144</v>
      </c>
      <c r="G73" s="8" t="s">
        <v>85</v>
      </c>
      <c r="H73" s="8" t="s">
        <v>59</v>
      </c>
      <c r="I73" s="8" t="s">
        <v>136</v>
      </c>
      <c r="J73" s="8" t="s">
        <v>485</v>
      </c>
      <c r="K73" s="8" t="s">
        <v>33</v>
      </c>
      <c r="L73" s="8" t="s">
        <v>54</v>
      </c>
      <c r="M73" s="8" t="s">
        <v>42</v>
      </c>
      <c r="N73" s="26">
        <v>41423</v>
      </c>
      <c r="O73" s="14">
        <v>3.69</v>
      </c>
      <c r="P73" s="8">
        <v>35</v>
      </c>
      <c r="Q73" s="19">
        <f t="shared" si="5"/>
        <v>129.15</v>
      </c>
      <c r="R73" s="20">
        <v>0.03</v>
      </c>
      <c r="S73" s="29">
        <f t="shared" si="7"/>
        <v>3.8744999999999998</v>
      </c>
      <c r="T73" s="20">
        <f t="shared" si="8"/>
        <v>125.27550000000001</v>
      </c>
      <c r="U73" s="21">
        <v>2.5</v>
      </c>
      <c r="V73" s="31">
        <f t="shared" si="9"/>
        <v>127.77550000000001</v>
      </c>
    </row>
    <row r="74" spans="1:22" x14ac:dyDescent="0.3">
      <c r="A74" s="6" t="s">
        <v>486</v>
      </c>
      <c r="B74" s="6">
        <f t="shared" si="6"/>
        <v>2</v>
      </c>
      <c r="C74" s="7">
        <v>41423</v>
      </c>
      <c r="D74" s="8" t="s">
        <v>487</v>
      </c>
      <c r="E74" s="8">
        <v>203204</v>
      </c>
      <c r="F74" s="8" t="s">
        <v>488</v>
      </c>
      <c r="G74" s="8" t="s">
        <v>38</v>
      </c>
      <c r="H74" s="8" t="s">
        <v>59</v>
      </c>
      <c r="I74" s="8" t="s">
        <v>26</v>
      </c>
      <c r="J74" s="8" t="s">
        <v>489</v>
      </c>
      <c r="K74" s="8" t="s">
        <v>33</v>
      </c>
      <c r="L74" s="8" t="s">
        <v>54</v>
      </c>
      <c r="M74" s="8" t="s">
        <v>42</v>
      </c>
      <c r="N74" s="26">
        <v>41423</v>
      </c>
      <c r="O74" s="14">
        <v>19.98</v>
      </c>
      <c r="P74" s="8">
        <v>13</v>
      </c>
      <c r="Q74" s="19">
        <f t="shared" si="5"/>
        <v>259.74</v>
      </c>
      <c r="R74" s="20">
        <v>0.1</v>
      </c>
      <c r="S74" s="29">
        <f t="shared" si="7"/>
        <v>25.974000000000004</v>
      </c>
      <c r="T74" s="20">
        <f t="shared" si="8"/>
        <v>233.76600000000002</v>
      </c>
      <c r="U74" s="21">
        <v>5.77</v>
      </c>
      <c r="V74" s="31">
        <f t="shared" si="9"/>
        <v>239.53600000000003</v>
      </c>
    </row>
    <row r="75" spans="1:22" x14ac:dyDescent="0.3">
      <c r="A75" s="6" t="s">
        <v>490</v>
      </c>
      <c r="B75" s="6">
        <f t="shared" si="6"/>
        <v>2</v>
      </c>
      <c r="C75" s="7">
        <v>41425</v>
      </c>
      <c r="D75" s="8" t="s">
        <v>491</v>
      </c>
      <c r="E75" s="8">
        <v>205206</v>
      </c>
      <c r="F75" s="8" t="s">
        <v>209</v>
      </c>
      <c r="G75" s="8" t="s">
        <v>24</v>
      </c>
      <c r="H75" s="8" t="s">
        <v>288</v>
      </c>
      <c r="I75" s="8" t="s">
        <v>26</v>
      </c>
      <c r="J75" s="8" t="s">
        <v>492</v>
      </c>
      <c r="K75" s="8" t="s">
        <v>33</v>
      </c>
      <c r="L75" s="8" t="s">
        <v>54</v>
      </c>
      <c r="M75" s="8" t="s">
        <v>30</v>
      </c>
      <c r="N75" s="26">
        <v>41425</v>
      </c>
      <c r="O75" s="14">
        <v>29.74</v>
      </c>
      <c r="P75" s="8">
        <v>14</v>
      </c>
      <c r="Q75" s="19">
        <f t="shared" si="5"/>
        <v>416.35999999999996</v>
      </c>
      <c r="R75" s="20">
        <v>0.02</v>
      </c>
      <c r="S75" s="29">
        <f t="shared" si="7"/>
        <v>8.3271999999999995</v>
      </c>
      <c r="T75" s="20">
        <f t="shared" si="8"/>
        <v>408.03279999999995</v>
      </c>
      <c r="U75" s="21">
        <v>6.64</v>
      </c>
      <c r="V75" s="31">
        <f t="shared" si="9"/>
        <v>414.67279999999994</v>
      </c>
    </row>
    <row r="76" spans="1:22" x14ac:dyDescent="0.3">
      <c r="A76" s="6" t="s">
        <v>493</v>
      </c>
      <c r="B76" s="6">
        <f t="shared" si="6"/>
        <v>2</v>
      </c>
      <c r="C76" s="7">
        <v>41425</v>
      </c>
      <c r="D76" s="8" t="s">
        <v>494</v>
      </c>
      <c r="E76" s="8">
        <v>207208</v>
      </c>
      <c r="F76" s="8" t="s">
        <v>495</v>
      </c>
      <c r="G76" s="8" t="s">
        <v>38</v>
      </c>
      <c r="H76" s="8" t="s">
        <v>25</v>
      </c>
      <c r="I76" s="8" t="s">
        <v>49</v>
      </c>
      <c r="J76" s="8" t="s">
        <v>496</v>
      </c>
      <c r="K76" s="8" t="s">
        <v>28</v>
      </c>
      <c r="L76" s="8" t="s">
        <v>54</v>
      </c>
      <c r="M76" s="8" t="s">
        <v>30</v>
      </c>
      <c r="N76" s="26">
        <v>41427</v>
      </c>
      <c r="O76" s="14">
        <v>100.98</v>
      </c>
      <c r="P76" s="8">
        <v>33</v>
      </c>
      <c r="Q76" s="19">
        <f t="shared" si="5"/>
        <v>3332.34</v>
      </c>
      <c r="R76" s="20">
        <v>0.05</v>
      </c>
      <c r="S76" s="29">
        <f t="shared" si="7"/>
        <v>166.61700000000002</v>
      </c>
      <c r="T76" s="20">
        <f t="shared" si="8"/>
        <v>3165.723</v>
      </c>
      <c r="U76" s="21">
        <v>7.18</v>
      </c>
      <c r="V76" s="31">
        <f t="shared" si="9"/>
        <v>3172.9029999999998</v>
      </c>
    </row>
    <row r="77" spans="1:22" x14ac:dyDescent="0.3">
      <c r="A77" s="6" t="s">
        <v>497</v>
      </c>
      <c r="B77" s="6">
        <f t="shared" si="6"/>
        <v>2</v>
      </c>
      <c r="C77" s="7">
        <v>41425</v>
      </c>
      <c r="D77" s="8" t="s">
        <v>498</v>
      </c>
      <c r="E77" s="8">
        <v>209210</v>
      </c>
      <c r="F77" s="8" t="s">
        <v>499</v>
      </c>
      <c r="G77" s="8" t="s">
        <v>58</v>
      </c>
      <c r="H77" s="8" t="s">
        <v>74</v>
      </c>
      <c r="I77" s="8" t="s">
        <v>40</v>
      </c>
      <c r="J77" s="8" t="s">
        <v>217</v>
      </c>
      <c r="K77" s="8" t="s">
        <v>33</v>
      </c>
      <c r="L77" s="8" t="s">
        <v>34</v>
      </c>
      <c r="M77" s="8" t="s">
        <v>30</v>
      </c>
      <c r="N77" s="26">
        <v>41429</v>
      </c>
      <c r="O77" s="14">
        <v>5.43</v>
      </c>
      <c r="P77" s="8">
        <v>29</v>
      </c>
      <c r="Q77" s="19">
        <f t="shared" si="5"/>
        <v>157.47</v>
      </c>
      <c r="R77" s="20">
        <v>7.0000000000000007E-2</v>
      </c>
      <c r="S77" s="29">
        <f t="shared" si="7"/>
        <v>11.022900000000002</v>
      </c>
      <c r="T77" s="20">
        <f t="shared" si="8"/>
        <v>146.44710000000001</v>
      </c>
      <c r="U77" s="21">
        <v>0.95</v>
      </c>
      <c r="V77" s="31">
        <f t="shared" si="9"/>
        <v>147.39709999999999</v>
      </c>
    </row>
    <row r="78" spans="1:22" x14ac:dyDescent="0.3">
      <c r="A78" s="6" t="s">
        <v>500</v>
      </c>
      <c r="B78" s="6">
        <f t="shared" si="6"/>
        <v>2</v>
      </c>
      <c r="C78" s="7">
        <v>41427</v>
      </c>
      <c r="D78" s="8" t="s">
        <v>501</v>
      </c>
      <c r="E78" s="8">
        <v>21</v>
      </c>
      <c r="F78" s="8" t="s">
        <v>502</v>
      </c>
      <c r="G78" s="8" t="s">
        <v>38</v>
      </c>
      <c r="H78" s="8" t="s">
        <v>288</v>
      </c>
      <c r="I78" s="8" t="s">
        <v>40</v>
      </c>
      <c r="J78" s="8" t="s">
        <v>263</v>
      </c>
      <c r="K78" s="8" t="s">
        <v>28</v>
      </c>
      <c r="L78" s="8" t="s">
        <v>29</v>
      </c>
      <c r="M78" s="8" t="s">
        <v>30</v>
      </c>
      <c r="N78" s="26">
        <v>41429</v>
      </c>
      <c r="O78" s="14">
        <v>35.409999999999997</v>
      </c>
      <c r="P78" s="8">
        <v>38</v>
      </c>
      <c r="Q78" s="19">
        <f t="shared" si="5"/>
        <v>1345.58</v>
      </c>
      <c r="R78" s="20">
        <v>0.03</v>
      </c>
      <c r="S78" s="29">
        <f t="shared" si="7"/>
        <v>40.367399999999996</v>
      </c>
      <c r="T78" s="20">
        <f t="shared" si="8"/>
        <v>1305.2125999999998</v>
      </c>
      <c r="U78" s="21">
        <v>1.99</v>
      </c>
      <c r="V78" s="31">
        <f t="shared" si="9"/>
        <v>1307.2025999999998</v>
      </c>
    </row>
    <row r="79" spans="1:22" x14ac:dyDescent="0.3">
      <c r="A79" s="6" t="s">
        <v>503</v>
      </c>
      <c r="B79" s="6">
        <f t="shared" si="6"/>
        <v>2</v>
      </c>
      <c r="C79" s="7">
        <v>41429</v>
      </c>
      <c r="D79" s="8" t="s">
        <v>504</v>
      </c>
      <c r="E79" s="8">
        <v>21</v>
      </c>
      <c r="F79" s="8" t="s">
        <v>505</v>
      </c>
      <c r="G79" s="8" t="s">
        <v>38</v>
      </c>
      <c r="H79" s="8" t="s">
        <v>92</v>
      </c>
      <c r="I79" s="8" t="s">
        <v>49</v>
      </c>
      <c r="J79" s="8" t="s">
        <v>506</v>
      </c>
      <c r="K79" s="8" t="s">
        <v>33</v>
      </c>
      <c r="L79" s="8" t="s">
        <v>34</v>
      </c>
      <c r="M79" s="8" t="s">
        <v>30</v>
      </c>
      <c r="N79" s="26">
        <v>41431</v>
      </c>
      <c r="O79" s="14">
        <v>3.38</v>
      </c>
      <c r="P79" s="8">
        <v>34</v>
      </c>
      <c r="Q79" s="19">
        <f t="shared" si="5"/>
        <v>114.92</v>
      </c>
      <c r="R79" s="20">
        <v>7.0000000000000007E-2</v>
      </c>
      <c r="S79" s="29">
        <f t="shared" si="7"/>
        <v>8.0444000000000013</v>
      </c>
      <c r="T79" s="20">
        <f t="shared" si="8"/>
        <v>106.87560000000001</v>
      </c>
      <c r="U79" s="21">
        <v>0.85</v>
      </c>
      <c r="V79" s="31">
        <f t="shared" si="9"/>
        <v>107.7256</v>
      </c>
    </row>
    <row r="80" spans="1:22" x14ac:dyDescent="0.3">
      <c r="A80" s="6" t="s">
        <v>507</v>
      </c>
      <c r="B80" s="6">
        <f t="shared" si="6"/>
        <v>2</v>
      </c>
      <c r="C80" s="7">
        <v>41430</v>
      </c>
      <c r="D80" s="8" t="s">
        <v>508</v>
      </c>
      <c r="E80" s="8">
        <v>21</v>
      </c>
      <c r="F80" s="8" t="s">
        <v>509</v>
      </c>
      <c r="G80" s="8" t="s">
        <v>85</v>
      </c>
      <c r="H80" s="8" t="s">
        <v>25</v>
      </c>
      <c r="I80" s="8" t="s">
        <v>60</v>
      </c>
      <c r="J80" s="8" t="s">
        <v>339</v>
      </c>
      <c r="K80" s="8" t="s">
        <v>33</v>
      </c>
      <c r="L80" s="8" t="s">
        <v>54</v>
      </c>
      <c r="M80" s="8" t="s">
        <v>42</v>
      </c>
      <c r="N80" s="26">
        <v>41432</v>
      </c>
      <c r="O80" s="14">
        <v>58.1</v>
      </c>
      <c r="P80" s="8">
        <v>10</v>
      </c>
      <c r="Q80" s="19">
        <f t="shared" si="5"/>
        <v>581</v>
      </c>
      <c r="R80" s="20">
        <v>0.09</v>
      </c>
      <c r="S80" s="29">
        <f t="shared" si="7"/>
        <v>52.29</v>
      </c>
      <c r="T80" s="20">
        <f t="shared" si="8"/>
        <v>528.71</v>
      </c>
      <c r="U80" s="21">
        <v>1.49</v>
      </c>
      <c r="V80" s="31">
        <f t="shared" si="9"/>
        <v>530.20000000000005</v>
      </c>
    </row>
    <row r="81" spans="1:22" x14ac:dyDescent="0.3">
      <c r="A81" s="6" t="s">
        <v>510</v>
      </c>
      <c r="B81" s="6">
        <f t="shared" si="6"/>
        <v>2</v>
      </c>
      <c r="C81" s="7">
        <v>41430</v>
      </c>
      <c r="D81" s="8" t="s">
        <v>511</v>
      </c>
      <c r="E81" s="8">
        <v>21</v>
      </c>
      <c r="F81" s="8" t="s">
        <v>512</v>
      </c>
      <c r="G81" s="8" t="s">
        <v>24</v>
      </c>
      <c r="H81" s="8" t="s">
        <v>118</v>
      </c>
      <c r="I81" s="8" t="s">
        <v>40</v>
      </c>
      <c r="J81" s="8" t="s">
        <v>481</v>
      </c>
      <c r="K81" s="8" t="s">
        <v>28</v>
      </c>
      <c r="L81" s="8" t="s">
        <v>54</v>
      </c>
      <c r="M81" s="8" t="s">
        <v>30</v>
      </c>
      <c r="N81" s="26">
        <v>41430</v>
      </c>
      <c r="O81" s="14">
        <v>300.97000000000003</v>
      </c>
      <c r="P81" s="8">
        <v>38</v>
      </c>
      <c r="Q81" s="19">
        <f t="shared" si="5"/>
        <v>11436.86</v>
      </c>
      <c r="R81" s="20">
        <v>0.09</v>
      </c>
      <c r="S81" s="29">
        <f t="shared" si="7"/>
        <v>1029.3173999999999</v>
      </c>
      <c r="T81" s="20">
        <f t="shared" si="8"/>
        <v>10407.542600000001</v>
      </c>
      <c r="U81" s="21">
        <v>7.18</v>
      </c>
      <c r="V81" s="31">
        <f t="shared" si="9"/>
        <v>10414.722600000001</v>
      </c>
    </row>
    <row r="82" spans="1:22" x14ac:dyDescent="0.3">
      <c r="A82" s="6" t="s">
        <v>513</v>
      </c>
      <c r="B82" s="6">
        <f t="shared" si="6"/>
        <v>2</v>
      </c>
      <c r="C82" s="7">
        <v>41431</v>
      </c>
      <c r="D82" s="8" t="s">
        <v>286</v>
      </c>
      <c r="E82" s="8">
        <v>145146</v>
      </c>
      <c r="F82" s="8" t="s">
        <v>287</v>
      </c>
      <c r="G82" s="8" t="s">
        <v>38</v>
      </c>
      <c r="H82" s="8" t="s">
        <v>288</v>
      </c>
      <c r="I82" s="8" t="s">
        <v>26</v>
      </c>
      <c r="J82" s="8" t="s">
        <v>347</v>
      </c>
      <c r="K82" s="8" t="s">
        <v>33</v>
      </c>
      <c r="L82" s="8" t="s">
        <v>29</v>
      </c>
      <c r="M82" s="8" t="s">
        <v>30</v>
      </c>
      <c r="N82" s="26">
        <v>41433</v>
      </c>
      <c r="O82" s="14">
        <v>8.34</v>
      </c>
      <c r="P82" s="8">
        <v>30</v>
      </c>
      <c r="Q82" s="19">
        <f t="shared" si="5"/>
        <v>250.2</v>
      </c>
      <c r="R82" s="20">
        <v>0.02</v>
      </c>
      <c r="S82" s="29">
        <f t="shared" si="7"/>
        <v>5.0039999999999996</v>
      </c>
      <c r="T82" s="20">
        <f t="shared" si="8"/>
        <v>245.196</v>
      </c>
      <c r="U82" s="21">
        <v>2.64</v>
      </c>
      <c r="V82" s="31">
        <f t="shared" si="9"/>
        <v>247.83599999999998</v>
      </c>
    </row>
    <row r="83" spans="1:22" x14ac:dyDescent="0.3">
      <c r="A83" s="6" t="s">
        <v>514</v>
      </c>
      <c r="B83" s="6">
        <f t="shared" si="6"/>
        <v>2</v>
      </c>
      <c r="C83" s="7">
        <v>41432</v>
      </c>
      <c r="D83" s="8" t="s">
        <v>515</v>
      </c>
      <c r="E83" s="8">
        <v>211212</v>
      </c>
      <c r="F83" s="8" t="s">
        <v>516</v>
      </c>
      <c r="G83" s="8" t="s">
        <v>24</v>
      </c>
      <c r="H83" s="8" t="s">
        <v>67</v>
      </c>
      <c r="I83" s="8" t="s">
        <v>49</v>
      </c>
      <c r="J83" s="8" t="s">
        <v>496</v>
      </c>
      <c r="K83" s="8" t="s">
        <v>28</v>
      </c>
      <c r="L83" s="8" t="s">
        <v>54</v>
      </c>
      <c r="M83" s="8" t="s">
        <v>30</v>
      </c>
      <c r="N83" s="26">
        <v>41433</v>
      </c>
      <c r="O83" s="14">
        <v>100.98</v>
      </c>
      <c r="P83" s="8">
        <v>29</v>
      </c>
      <c r="Q83" s="19">
        <f t="shared" si="5"/>
        <v>2928.42</v>
      </c>
      <c r="R83" s="20">
        <v>0.03</v>
      </c>
      <c r="S83" s="29">
        <f t="shared" si="7"/>
        <v>87.852599999999995</v>
      </c>
      <c r="T83" s="20">
        <f t="shared" si="8"/>
        <v>2840.5673999999999</v>
      </c>
      <c r="U83" s="21">
        <v>7.18</v>
      </c>
      <c r="V83" s="31">
        <f t="shared" si="9"/>
        <v>2847.7473999999997</v>
      </c>
    </row>
    <row r="84" spans="1:22" x14ac:dyDescent="0.3">
      <c r="A84" s="6" t="s">
        <v>517</v>
      </c>
      <c r="B84" s="6">
        <f t="shared" si="6"/>
        <v>2</v>
      </c>
      <c r="C84" s="7">
        <v>41434</v>
      </c>
      <c r="D84" s="8" t="s">
        <v>518</v>
      </c>
      <c r="E84" s="8">
        <v>2122</v>
      </c>
      <c r="F84" s="8" t="s">
        <v>519</v>
      </c>
      <c r="G84" s="8" t="s">
        <v>24</v>
      </c>
      <c r="H84" s="8" t="s">
        <v>59</v>
      </c>
      <c r="I84" s="8" t="s">
        <v>49</v>
      </c>
      <c r="J84" s="8" t="s">
        <v>520</v>
      </c>
      <c r="K84" s="8" t="s">
        <v>33</v>
      </c>
      <c r="L84" s="8" t="s">
        <v>54</v>
      </c>
      <c r="M84" s="8" t="s">
        <v>30</v>
      </c>
      <c r="N84" s="26">
        <v>41434</v>
      </c>
      <c r="O84" s="14">
        <v>415.88</v>
      </c>
      <c r="P84" s="8">
        <v>2</v>
      </c>
      <c r="Q84" s="19">
        <f t="shared" si="5"/>
        <v>831.76</v>
      </c>
      <c r="R84" s="20">
        <v>7.0000000000000007E-2</v>
      </c>
      <c r="S84" s="29">
        <f t="shared" si="7"/>
        <v>58.223200000000006</v>
      </c>
      <c r="T84" s="20">
        <f t="shared" si="8"/>
        <v>773.53679999999997</v>
      </c>
      <c r="U84" s="21">
        <v>11.37</v>
      </c>
      <c r="V84" s="31">
        <f t="shared" si="9"/>
        <v>784.90679999999998</v>
      </c>
    </row>
    <row r="85" spans="1:22" x14ac:dyDescent="0.3">
      <c r="A85" s="6" t="s">
        <v>521</v>
      </c>
      <c r="B85" s="6">
        <f t="shared" si="6"/>
        <v>2</v>
      </c>
      <c r="C85" s="7">
        <v>41435</v>
      </c>
      <c r="D85" s="8" t="s">
        <v>522</v>
      </c>
      <c r="E85" s="8">
        <v>213214</v>
      </c>
      <c r="F85" s="8" t="s">
        <v>393</v>
      </c>
      <c r="G85" s="8" t="s">
        <v>38</v>
      </c>
      <c r="H85" s="8" t="s">
        <v>59</v>
      </c>
      <c r="I85" s="8" t="s">
        <v>26</v>
      </c>
      <c r="J85" s="8" t="s">
        <v>141</v>
      </c>
      <c r="K85" s="8" t="s">
        <v>33</v>
      </c>
      <c r="L85" s="8" t="s">
        <v>34</v>
      </c>
      <c r="M85" s="8" t="s">
        <v>30</v>
      </c>
      <c r="N85" s="26">
        <v>41437</v>
      </c>
      <c r="O85" s="14">
        <v>4</v>
      </c>
      <c r="P85" s="8">
        <v>39</v>
      </c>
      <c r="Q85" s="19">
        <f t="shared" ref="Q85:Q148" si="10">PRODUCT(O85,P85)</f>
        <v>156</v>
      </c>
      <c r="R85" s="20">
        <v>0.08</v>
      </c>
      <c r="S85" s="29">
        <f t="shared" si="7"/>
        <v>12.48</v>
      </c>
      <c r="T85" s="20">
        <f t="shared" si="8"/>
        <v>143.52000000000001</v>
      </c>
      <c r="U85" s="21">
        <v>1.3</v>
      </c>
      <c r="V85" s="31">
        <f t="shared" si="9"/>
        <v>144.82000000000002</v>
      </c>
    </row>
    <row r="86" spans="1:22" x14ac:dyDescent="0.3">
      <c r="A86" s="6" t="s">
        <v>523</v>
      </c>
      <c r="B86" s="6">
        <f t="shared" si="6"/>
        <v>2</v>
      </c>
      <c r="C86" s="7">
        <v>41436</v>
      </c>
      <c r="D86" s="8" t="s">
        <v>524</v>
      </c>
      <c r="E86" s="8">
        <v>215216</v>
      </c>
      <c r="F86" s="8" t="s">
        <v>525</v>
      </c>
      <c r="G86" s="8" t="s">
        <v>58</v>
      </c>
      <c r="H86" s="8" t="s">
        <v>59</v>
      </c>
      <c r="I86" s="8" t="s">
        <v>40</v>
      </c>
      <c r="J86" s="8" t="s">
        <v>526</v>
      </c>
      <c r="K86" s="8" t="s">
        <v>33</v>
      </c>
      <c r="L86" s="8" t="s">
        <v>54</v>
      </c>
      <c r="M86" s="8" t="s">
        <v>30</v>
      </c>
      <c r="N86" s="26">
        <v>41438</v>
      </c>
      <c r="O86" s="14">
        <v>30.98</v>
      </c>
      <c r="P86" s="8">
        <v>49</v>
      </c>
      <c r="Q86" s="19">
        <f t="shared" si="10"/>
        <v>1518.02</v>
      </c>
      <c r="R86" s="20">
        <v>0.09</v>
      </c>
      <c r="S86" s="29">
        <f t="shared" si="7"/>
        <v>136.62180000000001</v>
      </c>
      <c r="T86" s="20">
        <f t="shared" si="8"/>
        <v>1381.3982000000001</v>
      </c>
      <c r="U86" s="21">
        <v>19.510000000000002</v>
      </c>
      <c r="V86" s="31">
        <f t="shared" si="9"/>
        <v>1400.9082000000001</v>
      </c>
    </row>
    <row r="87" spans="1:22" x14ac:dyDescent="0.3">
      <c r="A87" s="6" t="s">
        <v>527</v>
      </c>
      <c r="B87" s="6">
        <f t="shared" si="6"/>
        <v>2</v>
      </c>
      <c r="C87" s="7">
        <v>41440</v>
      </c>
      <c r="D87" s="8" t="s">
        <v>528</v>
      </c>
      <c r="E87" s="8">
        <v>217218</v>
      </c>
      <c r="F87" s="8" t="s">
        <v>519</v>
      </c>
      <c r="G87" s="8" t="s">
        <v>38</v>
      </c>
      <c r="H87" s="8" t="s">
        <v>298</v>
      </c>
      <c r="I87" s="8" t="s">
        <v>26</v>
      </c>
      <c r="J87" s="8" t="s">
        <v>481</v>
      </c>
      <c r="K87" s="8" t="s">
        <v>28</v>
      </c>
      <c r="L87" s="8" t="s">
        <v>54</v>
      </c>
      <c r="M87" s="8" t="s">
        <v>30</v>
      </c>
      <c r="N87" s="26">
        <v>41442</v>
      </c>
      <c r="O87" s="14">
        <v>300.97000000000003</v>
      </c>
      <c r="P87" s="8">
        <v>5</v>
      </c>
      <c r="Q87" s="19">
        <f t="shared" si="10"/>
        <v>1504.8500000000001</v>
      </c>
      <c r="R87" s="20">
        <v>7.0000000000000007E-2</v>
      </c>
      <c r="S87" s="29">
        <f t="shared" si="7"/>
        <v>105.33950000000002</v>
      </c>
      <c r="T87" s="20">
        <f t="shared" si="8"/>
        <v>1399.5105000000001</v>
      </c>
      <c r="U87" s="21">
        <v>7.18</v>
      </c>
      <c r="V87" s="31">
        <f t="shared" si="9"/>
        <v>1406.6905000000002</v>
      </c>
    </row>
    <row r="88" spans="1:22" x14ac:dyDescent="0.3">
      <c r="A88" s="6" t="s">
        <v>529</v>
      </c>
      <c r="B88" s="6">
        <f t="shared" si="6"/>
        <v>2</v>
      </c>
      <c r="C88" s="7">
        <v>41440</v>
      </c>
      <c r="D88" s="8" t="s">
        <v>530</v>
      </c>
      <c r="E88" s="8">
        <v>219220</v>
      </c>
      <c r="F88" s="8" t="s">
        <v>531</v>
      </c>
      <c r="G88" s="8" t="s">
        <v>58</v>
      </c>
      <c r="H88" s="8" t="s">
        <v>48</v>
      </c>
      <c r="I88" s="8" t="s">
        <v>136</v>
      </c>
      <c r="J88" s="8" t="s">
        <v>532</v>
      </c>
      <c r="K88" s="8" t="s">
        <v>33</v>
      </c>
      <c r="L88" s="8" t="s">
        <v>34</v>
      </c>
      <c r="M88" s="8" t="s">
        <v>42</v>
      </c>
      <c r="N88" s="26">
        <v>41442</v>
      </c>
      <c r="O88" s="14">
        <v>4.76</v>
      </c>
      <c r="P88" s="8">
        <v>27</v>
      </c>
      <c r="Q88" s="19">
        <f t="shared" si="10"/>
        <v>128.51999999999998</v>
      </c>
      <c r="R88" s="20">
        <v>7.0000000000000007E-2</v>
      </c>
      <c r="S88" s="29">
        <f t="shared" si="7"/>
        <v>8.9963999999999995</v>
      </c>
      <c r="T88" s="20">
        <f t="shared" si="8"/>
        <v>119.52359999999999</v>
      </c>
      <c r="U88" s="21">
        <v>0.88</v>
      </c>
      <c r="V88" s="31">
        <f t="shared" si="9"/>
        <v>120.40359999999998</v>
      </c>
    </row>
    <row r="89" spans="1:22" x14ac:dyDescent="0.3">
      <c r="A89" s="6" t="s">
        <v>533</v>
      </c>
      <c r="B89" s="6">
        <f t="shared" si="6"/>
        <v>2</v>
      </c>
      <c r="C89" s="7">
        <v>41441</v>
      </c>
      <c r="D89" s="8" t="s">
        <v>534</v>
      </c>
      <c r="E89" s="8">
        <v>22</v>
      </c>
      <c r="F89" s="8" t="s">
        <v>535</v>
      </c>
      <c r="G89" s="8" t="s">
        <v>24</v>
      </c>
      <c r="H89" s="8" t="s">
        <v>48</v>
      </c>
      <c r="I89" s="8" t="s">
        <v>40</v>
      </c>
      <c r="J89" s="8" t="s">
        <v>481</v>
      </c>
      <c r="K89" s="8" t="s">
        <v>28</v>
      </c>
      <c r="L89" s="8" t="s">
        <v>54</v>
      </c>
      <c r="M89" s="8" t="s">
        <v>30</v>
      </c>
      <c r="N89" s="26">
        <v>41441</v>
      </c>
      <c r="O89" s="14">
        <v>300.97000000000003</v>
      </c>
      <c r="P89" s="8">
        <v>1</v>
      </c>
      <c r="Q89" s="19">
        <f t="shared" si="10"/>
        <v>300.97000000000003</v>
      </c>
      <c r="R89" s="20">
        <v>0.06</v>
      </c>
      <c r="S89" s="29">
        <f t="shared" si="7"/>
        <v>18.058199999999999</v>
      </c>
      <c r="T89" s="20">
        <f t="shared" si="8"/>
        <v>282.91180000000003</v>
      </c>
      <c r="U89" s="21">
        <v>7.18</v>
      </c>
      <c r="V89" s="31">
        <f t="shared" si="9"/>
        <v>290.09180000000003</v>
      </c>
    </row>
    <row r="90" spans="1:22" x14ac:dyDescent="0.3">
      <c r="A90" s="6" t="s">
        <v>536</v>
      </c>
      <c r="B90" s="6">
        <f t="shared" si="6"/>
        <v>2</v>
      </c>
      <c r="C90" s="7">
        <v>41445</v>
      </c>
      <c r="D90" s="8" t="s">
        <v>361</v>
      </c>
      <c r="E90" s="8">
        <v>165166</v>
      </c>
      <c r="F90" s="8" t="s">
        <v>362</v>
      </c>
      <c r="G90" s="8" t="s">
        <v>38</v>
      </c>
      <c r="H90" s="8" t="s">
        <v>288</v>
      </c>
      <c r="I90" s="8" t="s">
        <v>26</v>
      </c>
      <c r="J90" s="8" t="s">
        <v>88</v>
      </c>
      <c r="K90" s="8" t="s">
        <v>33</v>
      </c>
      <c r="L90" s="8" t="s">
        <v>34</v>
      </c>
      <c r="M90" s="8" t="s">
        <v>30</v>
      </c>
      <c r="N90" s="26">
        <v>41446</v>
      </c>
      <c r="O90" s="14">
        <v>3.58</v>
      </c>
      <c r="P90" s="8">
        <v>10</v>
      </c>
      <c r="Q90" s="19">
        <f t="shared" si="10"/>
        <v>35.799999999999997</v>
      </c>
      <c r="R90" s="20">
        <v>0.05</v>
      </c>
      <c r="S90" s="29">
        <f t="shared" si="7"/>
        <v>1.79</v>
      </c>
      <c r="T90" s="20">
        <f t="shared" si="8"/>
        <v>34.01</v>
      </c>
      <c r="U90" s="21">
        <v>1.63</v>
      </c>
      <c r="V90" s="31">
        <f t="shared" si="9"/>
        <v>35.64</v>
      </c>
    </row>
    <row r="91" spans="1:22" x14ac:dyDescent="0.3">
      <c r="A91" s="6" t="s">
        <v>537</v>
      </c>
      <c r="B91" s="6">
        <f t="shared" si="6"/>
        <v>2</v>
      </c>
      <c r="C91" s="7">
        <v>41446</v>
      </c>
      <c r="D91" s="8" t="s">
        <v>538</v>
      </c>
      <c r="E91" s="8">
        <v>22</v>
      </c>
      <c r="F91" s="8" t="s">
        <v>539</v>
      </c>
      <c r="G91" s="8" t="s">
        <v>24</v>
      </c>
      <c r="H91" s="8" t="s">
        <v>25</v>
      </c>
      <c r="I91" s="8" t="s">
        <v>26</v>
      </c>
      <c r="J91" s="8" t="s">
        <v>316</v>
      </c>
      <c r="K91" s="8" t="s">
        <v>33</v>
      </c>
      <c r="L91" s="8" t="s">
        <v>54</v>
      </c>
      <c r="M91" s="8" t="s">
        <v>30</v>
      </c>
      <c r="N91" s="26">
        <v>41447</v>
      </c>
      <c r="O91" s="14">
        <v>162.93</v>
      </c>
      <c r="P91" s="8">
        <v>7</v>
      </c>
      <c r="Q91" s="19">
        <f t="shared" si="10"/>
        <v>1140.51</v>
      </c>
      <c r="R91" s="20">
        <v>0.03</v>
      </c>
      <c r="S91" s="29">
        <f t="shared" si="7"/>
        <v>34.215299999999999</v>
      </c>
      <c r="T91" s="20">
        <f t="shared" si="8"/>
        <v>1106.2946999999999</v>
      </c>
      <c r="U91" s="21">
        <v>19.989999999999998</v>
      </c>
      <c r="V91" s="31">
        <f t="shared" si="9"/>
        <v>1126.2846999999999</v>
      </c>
    </row>
    <row r="92" spans="1:22" x14ac:dyDescent="0.3">
      <c r="A92" s="6" t="s">
        <v>540</v>
      </c>
      <c r="B92" s="6">
        <f t="shared" si="6"/>
        <v>2</v>
      </c>
      <c r="C92" s="7">
        <v>41446</v>
      </c>
      <c r="D92" s="8" t="s">
        <v>541</v>
      </c>
      <c r="E92" s="8">
        <v>22</v>
      </c>
      <c r="F92" s="8" t="s">
        <v>542</v>
      </c>
      <c r="G92" s="8" t="s">
        <v>38</v>
      </c>
      <c r="H92" s="8" t="s">
        <v>48</v>
      </c>
      <c r="I92" s="8" t="s">
        <v>136</v>
      </c>
      <c r="J92" s="8" t="s">
        <v>132</v>
      </c>
      <c r="K92" s="8" t="s">
        <v>33</v>
      </c>
      <c r="L92" s="8" t="s">
        <v>34</v>
      </c>
      <c r="M92" s="8" t="s">
        <v>42</v>
      </c>
      <c r="N92" s="26">
        <v>41448</v>
      </c>
      <c r="O92" s="14">
        <v>2.62</v>
      </c>
      <c r="P92" s="8">
        <v>34</v>
      </c>
      <c r="Q92" s="19">
        <f t="shared" si="10"/>
        <v>89.08</v>
      </c>
      <c r="R92" s="20">
        <v>0.08</v>
      </c>
      <c r="S92" s="29">
        <f t="shared" si="7"/>
        <v>7.1264000000000003</v>
      </c>
      <c r="T92" s="20">
        <f t="shared" si="8"/>
        <v>81.953599999999994</v>
      </c>
      <c r="U92" s="21">
        <v>0.8</v>
      </c>
      <c r="V92" s="31">
        <f t="shared" si="9"/>
        <v>82.753599999999992</v>
      </c>
    </row>
    <row r="93" spans="1:22" x14ac:dyDescent="0.3">
      <c r="A93" s="6" t="s">
        <v>543</v>
      </c>
      <c r="B93" s="6">
        <f t="shared" si="6"/>
        <v>2</v>
      </c>
      <c r="C93" s="7">
        <v>41449</v>
      </c>
      <c r="D93" s="8" t="s">
        <v>544</v>
      </c>
      <c r="E93" s="8">
        <v>221222</v>
      </c>
      <c r="F93" s="8" t="s">
        <v>461</v>
      </c>
      <c r="G93" s="8" t="s">
        <v>24</v>
      </c>
      <c r="H93" s="8" t="s">
        <v>298</v>
      </c>
      <c r="I93" s="8" t="s">
        <v>136</v>
      </c>
      <c r="J93" s="8" t="s">
        <v>53</v>
      </c>
      <c r="K93" s="8" t="s">
        <v>33</v>
      </c>
      <c r="L93" s="8" t="s">
        <v>54</v>
      </c>
      <c r="M93" s="8" t="s">
        <v>30</v>
      </c>
      <c r="N93" s="26">
        <v>41450</v>
      </c>
      <c r="O93" s="14">
        <v>5.4</v>
      </c>
      <c r="P93" s="8">
        <v>25</v>
      </c>
      <c r="Q93" s="19">
        <f t="shared" si="10"/>
        <v>135</v>
      </c>
      <c r="R93" s="20">
        <v>0.09</v>
      </c>
      <c r="S93" s="29">
        <f t="shared" si="7"/>
        <v>12.15</v>
      </c>
      <c r="T93" s="20">
        <f t="shared" si="8"/>
        <v>122.85</v>
      </c>
      <c r="U93" s="21">
        <v>7.78</v>
      </c>
      <c r="V93" s="31">
        <f t="shared" si="9"/>
        <v>130.63</v>
      </c>
    </row>
    <row r="94" spans="1:22" x14ac:dyDescent="0.3">
      <c r="A94" s="6" t="s">
        <v>545</v>
      </c>
      <c r="B94" s="6">
        <f t="shared" si="6"/>
        <v>2</v>
      </c>
      <c r="C94" s="7">
        <v>41450</v>
      </c>
      <c r="D94" s="8" t="s">
        <v>546</v>
      </c>
      <c r="E94" s="8">
        <v>223224</v>
      </c>
      <c r="F94" s="8" t="s">
        <v>547</v>
      </c>
      <c r="G94" s="8" t="s">
        <v>85</v>
      </c>
      <c r="H94" s="8" t="s">
        <v>25</v>
      </c>
      <c r="I94" s="8" t="s">
        <v>136</v>
      </c>
      <c r="J94" s="8" t="s">
        <v>206</v>
      </c>
      <c r="K94" s="8" t="s">
        <v>33</v>
      </c>
      <c r="L94" s="8" t="s">
        <v>34</v>
      </c>
      <c r="M94" s="8" t="s">
        <v>30</v>
      </c>
      <c r="N94" s="26">
        <v>41451</v>
      </c>
      <c r="O94" s="14">
        <v>19.84</v>
      </c>
      <c r="P94" s="8">
        <v>26</v>
      </c>
      <c r="Q94" s="19">
        <f t="shared" si="10"/>
        <v>515.84</v>
      </c>
      <c r="R94" s="20">
        <v>7.0000000000000007E-2</v>
      </c>
      <c r="S94" s="29">
        <f t="shared" si="7"/>
        <v>36.108800000000002</v>
      </c>
      <c r="T94" s="20">
        <f t="shared" si="8"/>
        <v>479.73120000000006</v>
      </c>
      <c r="U94" s="21">
        <v>4.0999999999999996</v>
      </c>
      <c r="V94" s="31">
        <f t="shared" si="9"/>
        <v>483.83120000000008</v>
      </c>
    </row>
    <row r="95" spans="1:22" x14ac:dyDescent="0.3">
      <c r="A95" s="6" t="s">
        <v>548</v>
      </c>
      <c r="B95" s="6">
        <f t="shared" si="6"/>
        <v>2</v>
      </c>
      <c r="C95" s="7">
        <v>41451</v>
      </c>
      <c r="D95" s="8" t="s">
        <v>451</v>
      </c>
      <c r="E95" s="8">
        <v>1920</v>
      </c>
      <c r="F95" s="8" t="s">
        <v>452</v>
      </c>
      <c r="G95" s="8" t="s">
        <v>24</v>
      </c>
      <c r="H95" s="8" t="s">
        <v>130</v>
      </c>
      <c r="I95" s="8" t="s">
        <v>60</v>
      </c>
      <c r="J95" s="8" t="s">
        <v>363</v>
      </c>
      <c r="K95" s="8" t="s">
        <v>33</v>
      </c>
      <c r="L95" s="8" t="s">
        <v>34</v>
      </c>
      <c r="M95" s="8" t="s">
        <v>30</v>
      </c>
      <c r="N95" s="26">
        <v>41452</v>
      </c>
      <c r="O95" s="14">
        <v>2.98</v>
      </c>
      <c r="P95" s="8">
        <v>3</v>
      </c>
      <c r="Q95" s="19">
        <f t="shared" si="10"/>
        <v>8.94</v>
      </c>
      <c r="R95" s="20">
        <v>0.09</v>
      </c>
      <c r="S95" s="29">
        <f t="shared" si="7"/>
        <v>0.80459999999999987</v>
      </c>
      <c r="T95" s="20">
        <f t="shared" si="8"/>
        <v>8.1353999999999989</v>
      </c>
      <c r="U95" s="21">
        <v>1.58</v>
      </c>
      <c r="V95" s="31">
        <f t="shared" si="9"/>
        <v>9.7153999999999989</v>
      </c>
    </row>
    <row r="96" spans="1:22" x14ac:dyDescent="0.3">
      <c r="A96" s="6" t="s">
        <v>35</v>
      </c>
      <c r="B96" s="6">
        <f t="shared" si="6"/>
        <v>2</v>
      </c>
      <c r="C96" s="7">
        <v>41454</v>
      </c>
      <c r="D96" s="8" t="s">
        <v>36</v>
      </c>
      <c r="E96" s="8">
        <v>1</v>
      </c>
      <c r="F96" s="8" t="s">
        <v>37</v>
      </c>
      <c r="G96" s="8" t="s">
        <v>38</v>
      </c>
      <c r="H96" s="8" t="s">
        <v>39</v>
      </c>
      <c r="I96" s="8" t="s">
        <v>40</v>
      </c>
      <c r="J96" s="8" t="s">
        <v>41</v>
      </c>
      <c r="K96" s="8" t="s">
        <v>33</v>
      </c>
      <c r="L96" s="8" t="s">
        <v>34</v>
      </c>
      <c r="M96" s="8" t="s">
        <v>42</v>
      </c>
      <c r="N96" s="26">
        <v>41459</v>
      </c>
      <c r="O96" s="14">
        <v>5.18</v>
      </c>
      <c r="P96" s="8">
        <v>1</v>
      </c>
      <c r="Q96" s="19">
        <f t="shared" si="10"/>
        <v>5.18</v>
      </c>
      <c r="R96" s="20">
        <v>0.02</v>
      </c>
      <c r="S96" s="29">
        <f t="shared" si="7"/>
        <v>0.1036</v>
      </c>
      <c r="T96" s="20">
        <f t="shared" si="8"/>
        <v>5.0763999999999996</v>
      </c>
      <c r="U96" s="21">
        <v>2.04</v>
      </c>
      <c r="V96" s="31">
        <f t="shared" si="9"/>
        <v>7.1163999999999996</v>
      </c>
    </row>
    <row r="97" spans="1:22" x14ac:dyDescent="0.3">
      <c r="A97" s="6" t="s">
        <v>43</v>
      </c>
      <c r="B97" s="6">
        <f t="shared" si="6"/>
        <v>2</v>
      </c>
      <c r="C97" s="7">
        <v>41454</v>
      </c>
      <c r="D97" s="8" t="s">
        <v>36</v>
      </c>
      <c r="E97" s="8">
        <v>1</v>
      </c>
      <c r="F97" s="8" t="s">
        <v>37</v>
      </c>
      <c r="G97" s="8" t="s">
        <v>38</v>
      </c>
      <c r="H97" s="8" t="s">
        <v>39</v>
      </c>
      <c r="I97" s="8" t="s">
        <v>40</v>
      </c>
      <c r="J97" s="8" t="s">
        <v>44</v>
      </c>
      <c r="K97" s="8" t="s">
        <v>33</v>
      </c>
      <c r="L97" s="8" t="s">
        <v>34</v>
      </c>
      <c r="M97" s="8" t="s">
        <v>30</v>
      </c>
      <c r="N97" s="26">
        <v>41458</v>
      </c>
      <c r="O97" s="14">
        <v>5.84</v>
      </c>
      <c r="P97" s="8">
        <v>4</v>
      </c>
      <c r="Q97" s="19">
        <f t="shared" si="10"/>
        <v>23.36</v>
      </c>
      <c r="R97" s="20">
        <v>0.09</v>
      </c>
      <c r="S97" s="29">
        <f t="shared" si="7"/>
        <v>2.1023999999999998</v>
      </c>
      <c r="T97" s="20">
        <f t="shared" si="8"/>
        <v>21.2576</v>
      </c>
      <c r="U97" s="21">
        <v>0.83</v>
      </c>
      <c r="V97" s="31">
        <f t="shared" si="9"/>
        <v>22.087599999999998</v>
      </c>
    </row>
    <row r="98" spans="1:22" x14ac:dyDescent="0.3">
      <c r="A98" s="6" t="s">
        <v>1077</v>
      </c>
      <c r="B98" s="6">
        <f t="shared" si="6"/>
        <v>2</v>
      </c>
      <c r="C98" s="7">
        <v>41454</v>
      </c>
      <c r="D98" s="8" t="s">
        <v>36</v>
      </c>
      <c r="E98" s="8">
        <v>216682.58498133</v>
      </c>
      <c r="F98" s="8" t="s">
        <v>37</v>
      </c>
      <c r="G98" s="8" t="s">
        <v>38</v>
      </c>
      <c r="H98" s="8" t="s">
        <v>39</v>
      </c>
      <c r="I98" s="8" t="s">
        <v>40</v>
      </c>
      <c r="J98" s="8" t="s">
        <v>41</v>
      </c>
      <c r="K98" s="8" t="s">
        <v>33</v>
      </c>
      <c r="L98" s="8" t="s">
        <v>34</v>
      </c>
      <c r="M98" s="8" t="s">
        <v>42</v>
      </c>
      <c r="N98" s="26">
        <v>41459</v>
      </c>
      <c r="O98" s="14">
        <v>55.883848968265703</v>
      </c>
      <c r="P98" s="8">
        <v>26.570247815242201</v>
      </c>
      <c r="Q98" s="19">
        <f t="shared" si="10"/>
        <v>1484.847715956387</v>
      </c>
      <c r="R98" s="20">
        <v>4.9490630459855398E-2</v>
      </c>
      <c r="S98" s="29">
        <f t="shared" si="7"/>
        <v>73.486049599557887</v>
      </c>
      <c r="T98" s="20">
        <f t="shared" si="8"/>
        <v>1411.3616663568291</v>
      </c>
      <c r="U98" s="21">
        <v>7.2125710403150398</v>
      </c>
      <c r="V98" s="31">
        <f t="shared" si="9"/>
        <v>1418.5742373971441</v>
      </c>
    </row>
    <row r="99" spans="1:22" x14ac:dyDescent="0.3">
      <c r="A99" s="6" t="s">
        <v>1077</v>
      </c>
      <c r="B99" s="6">
        <f t="shared" si="6"/>
        <v>2</v>
      </c>
      <c r="C99" s="7">
        <v>41454</v>
      </c>
      <c r="D99" s="8" t="s">
        <v>36</v>
      </c>
      <c r="E99" s="8">
        <v>216682.58498133</v>
      </c>
      <c r="F99" s="8" t="s">
        <v>37</v>
      </c>
      <c r="G99" s="8" t="s">
        <v>38</v>
      </c>
      <c r="H99" s="8" t="s">
        <v>39</v>
      </c>
      <c r="I99" s="8" t="s">
        <v>40</v>
      </c>
      <c r="J99" s="8" t="s">
        <v>41</v>
      </c>
      <c r="K99" s="8" t="s">
        <v>33</v>
      </c>
      <c r="L99" s="8" t="s">
        <v>34</v>
      </c>
      <c r="M99" s="8" t="s">
        <v>42</v>
      </c>
      <c r="N99" s="26">
        <v>41459</v>
      </c>
      <c r="O99" s="14">
        <v>55.883848968265703</v>
      </c>
      <c r="P99" s="8">
        <v>26.570247815242201</v>
      </c>
      <c r="Q99" s="19">
        <f t="shared" si="10"/>
        <v>1484.847715956387</v>
      </c>
      <c r="R99" s="20">
        <v>4.9490630459855398E-2</v>
      </c>
      <c r="S99" s="29">
        <f t="shared" si="7"/>
        <v>73.486049599557887</v>
      </c>
      <c r="T99" s="20">
        <f t="shared" si="8"/>
        <v>1411.3616663568291</v>
      </c>
      <c r="U99" s="21">
        <v>7.2125710403150398</v>
      </c>
      <c r="V99" s="31">
        <f t="shared" si="9"/>
        <v>1418.5742373971441</v>
      </c>
    </row>
    <row r="100" spans="1:22" x14ac:dyDescent="0.3">
      <c r="A100" s="6" t="s">
        <v>1077</v>
      </c>
      <c r="B100" s="6">
        <f t="shared" si="6"/>
        <v>2</v>
      </c>
      <c r="C100" s="7">
        <v>41454</v>
      </c>
      <c r="D100" s="8" t="s">
        <v>36</v>
      </c>
      <c r="E100" s="8">
        <v>216682.58498133</v>
      </c>
      <c r="F100" s="8" t="s">
        <v>37</v>
      </c>
      <c r="G100" s="8" t="s">
        <v>38</v>
      </c>
      <c r="H100" s="8" t="s">
        <v>39</v>
      </c>
      <c r="I100" s="8" t="s">
        <v>40</v>
      </c>
      <c r="J100" s="8" t="s">
        <v>41</v>
      </c>
      <c r="K100" s="8" t="s">
        <v>33</v>
      </c>
      <c r="L100" s="8" t="s">
        <v>34</v>
      </c>
      <c r="M100" s="8" t="s">
        <v>42</v>
      </c>
      <c r="N100" s="26">
        <v>41459</v>
      </c>
      <c r="O100" s="14">
        <v>55.883848968265703</v>
      </c>
      <c r="P100" s="8">
        <v>26.570247815242201</v>
      </c>
      <c r="Q100" s="19">
        <f t="shared" si="10"/>
        <v>1484.847715956387</v>
      </c>
      <c r="R100" s="20">
        <v>4.9490630459855398E-2</v>
      </c>
      <c r="S100" s="29">
        <f t="shared" si="7"/>
        <v>73.486049599557887</v>
      </c>
      <c r="T100" s="20">
        <f t="shared" si="8"/>
        <v>1411.3616663568291</v>
      </c>
      <c r="U100" s="21">
        <v>7.2125710403150398</v>
      </c>
      <c r="V100" s="31">
        <f t="shared" si="9"/>
        <v>1418.5742373971441</v>
      </c>
    </row>
    <row r="101" spans="1:22" x14ac:dyDescent="0.3">
      <c r="A101" s="6" t="s">
        <v>1077</v>
      </c>
      <c r="B101" s="6">
        <f t="shared" si="6"/>
        <v>2</v>
      </c>
      <c r="C101" s="7">
        <v>41454</v>
      </c>
      <c r="D101" s="8" t="s">
        <v>36</v>
      </c>
      <c r="E101" s="8">
        <v>216682.58498133</v>
      </c>
      <c r="F101" s="8" t="s">
        <v>37</v>
      </c>
      <c r="G101" s="8" t="s">
        <v>38</v>
      </c>
      <c r="H101" s="8" t="s">
        <v>39</v>
      </c>
      <c r="I101" s="8" t="s">
        <v>40</v>
      </c>
      <c r="J101" s="8" t="s">
        <v>41</v>
      </c>
      <c r="K101" s="8" t="s">
        <v>33</v>
      </c>
      <c r="L101" s="8" t="s">
        <v>34</v>
      </c>
      <c r="M101" s="8" t="s">
        <v>42</v>
      </c>
      <c r="N101" s="26">
        <v>41459</v>
      </c>
      <c r="O101" s="14">
        <v>55.883848968265703</v>
      </c>
      <c r="P101" s="8">
        <v>26.570247815242201</v>
      </c>
      <c r="Q101" s="19">
        <f t="shared" si="10"/>
        <v>1484.847715956387</v>
      </c>
      <c r="R101" s="20">
        <v>4.9490630459855398E-2</v>
      </c>
      <c r="S101" s="29">
        <f t="shared" si="7"/>
        <v>73.486049599557887</v>
      </c>
      <c r="T101" s="20">
        <f t="shared" si="8"/>
        <v>1411.3616663568291</v>
      </c>
      <c r="U101" s="21">
        <v>7.2125710403150398</v>
      </c>
      <c r="V101" s="31">
        <f t="shared" si="9"/>
        <v>1418.5742373971441</v>
      </c>
    </row>
    <row r="102" spans="1:22" x14ac:dyDescent="0.3">
      <c r="A102" s="6" t="s">
        <v>1078</v>
      </c>
      <c r="B102" s="6">
        <f t="shared" si="6"/>
        <v>2</v>
      </c>
      <c r="C102" s="7">
        <v>41454</v>
      </c>
      <c r="D102" s="8" t="s">
        <v>36</v>
      </c>
      <c r="E102" s="8">
        <v>217070.51768393701</v>
      </c>
      <c r="F102" s="8" t="s">
        <v>37</v>
      </c>
      <c r="G102" s="8" t="s">
        <v>38</v>
      </c>
      <c r="H102" s="8" t="s">
        <v>39</v>
      </c>
      <c r="I102" s="8" t="s">
        <v>40</v>
      </c>
      <c r="J102" s="8" t="s">
        <v>44</v>
      </c>
      <c r="K102" s="8" t="s">
        <v>33</v>
      </c>
      <c r="L102" s="8" t="s">
        <v>34</v>
      </c>
      <c r="M102" s="8" t="s">
        <v>30</v>
      </c>
      <c r="N102" s="26">
        <v>41458</v>
      </c>
      <c r="O102" s="14">
        <v>55.929233787440999</v>
      </c>
      <c r="P102" s="8">
        <v>26.573309167907802</v>
      </c>
      <c r="Q102" s="19">
        <f t="shared" si="10"/>
        <v>1486.2248209578647</v>
      </c>
      <c r="R102" s="20">
        <v>4.94743807881605E-2</v>
      </c>
      <c r="S102" s="29">
        <f t="shared" si="7"/>
        <v>73.530052728885067</v>
      </c>
      <c r="T102" s="20">
        <f t="shared" si="8"/>
        <v>1412.6947682289797</v>
      </c>
      <c r="U102" s="21">
        <v>7.2178319632885604</v>
      </c>
      <c r="V102" s="31">
        <f t="shared" si="9"/>
        <v>1419.9126001922682</v>
      </c>
    </row>
    <row r="103" spans="1:22" x14ac:dyDescent="0.3">
      <c r="A103" s="6" t="s">
        <v>1078</v>
      </c>
      <c r="B103" s="6">
        <f t="shared" si="6"/>
        <v>2</v>
      </c>
      <c r="C103" s="7">
        <v>41454</v>
      </c>
      <c r="D103" s="8" t="s">
        <v>36</v>
      </c>
      <c r="E103" s="8">
        <v>217070.51768393701</v>
      </c>
      <c r="F103" s="8" t="s">
        <v>37</v>
      </c>
      <c r="G103" s="8" t="s">
        <v>38</v>
      </c>
      <c r="H103" s="8" t="s">
        <v>39</v>
      </c>
      <c r="I103" s="8" t="s">
        <v>40</v>
      </c>
      <c r="J103" s="8" t="s">
        <v>44</v>
      </c>
      <c r="K103" s="8" t="s">
        <v>33</v>
      </c>
      <c r="L103" s="8" t="s">
        <v>34</v>
      </c>
      <c r="M103" s="8" t="s">
        <v>30</v>
      </c>
      <c r="N103" s="26">
        <v>41458</v>
      </c>
      <c r="O103" s="14">
        <v>55.929233787440999</v>
      </c>
      <c r="P103" s="8">
        <v>26.573309167907802</v>
      </c>
      <c r="Q103" s="19">
        <f t="shared" si="10"/>
        <v>1486.2248209578647</v>
      </c>
      <c r="R103" s="20">
        <v>4.94743807881605E-2</v>
      </c>
      <c r="S103" s="29">
        <f t="shared" si="7"/>
        <v>73.530052728885067</v>
      </c>
      <c r="T103" s="20">
        <f t="shared" si="8"/>
        <v>1412.6947682289797</v>
      </c>
      <c r="U103" s="21">
        <v>7.2178319632885604</v>
      </c>
      <c r="V103" s="31">
        <f t="shared" si="9"/>
        <v>1419.9126001922682</v>
      </c>
    </row>
    <row r="104" spans="1:22" x14ac:dyDescent="0.3">
      <c r="A104" s="6" t="s">
        <v>1078</v>
      </c>
      <c r="B104" s="6">
        <f t="shared" si="6"/>
        <v>2</v>
      </c>
      <c r="C104" s="7">
        <v>41454</v>
      </c>
      <c r="D104" s="8" t="s">
        <v>36</v>
      </c>
      <c r="E104" s="8">
        <v>217070.51768393701</v>
      </c>
      <c r="F104" s="8" t="s">
        <v>37</v>
      </c>
      <c r="G104" s="8" t="s">
        <v>38</v>
      </c>
      <c r="H104" s="8" t="s">
        <v>39</v>
      </c>
      <c r="I104" s="8" t="s">
        <v>40</v>
      </c>
      <c r="J104" s="8" t="s">
        <v>44</v>
      </c>
      <c r="K104" s="8" t="s">
        <v>33</v>
      </c>
      <c r="L104" s="8" t="s">
        <v>34</v>
      </c>
      <c r="M104" s="8" t="s">
        <v>30</v>
      </c>
      <c r="N104" s="26">
        <v>41458</v>
      </c>
      <c r="O104" s="14">
        <v>55.929233787440999</v>
      </c>
      <c r="P104" s="8">
        <v>26.573309167907802</v>
      </c>
      <c r="Q104" s="19">
        <f t="shared" si="10"/>
        <v>1486.2248209578647</v>
      </c>
      <c r="R104" s="20">
        <v>4.94743807881605E-2</v>
      </c>
      <c r="S104" s="29">
        <f t="shared" si="7"/>
        <v>73.530052728885067</v>
      </c>
      <c r="T104" s="20">
        <f t="shared" si="8"/>
        <v>1412.6947682289797</v>
      </c>
      <c r="U104" s="21">
        <v>7.2178319632885604</v>
      </c>
      <c r="V104" s="31">
        <f t="shared" si="9"/>
        <v>1419.9126001922682</v>
      </c>
    </row>
    <row r="105" spans="1:22" x14ac:dyDescent="0.3">
      <c r="A105" s="6" t="s">
        <v>1078</v>
      </c>
      <c r="B105" s="6">
        <f t="shared" si="6"/>
        <v>2</v>
      </c>
      <c r="C105" s="7">
        <v>41454</v>
      </c>
      <c r="D105" s="8" t="s">
        <v>36</v>
      </c>
      <c r="E105" s="8">
        <v>217070.51768393701</v>
      </c>
      <c r="F105" s="8" t="s">
        <v>37</v>
      </c>
      <c r="G105" s="8" t="s">
        <v>38</v>
      </c>
      <c r="H105" s="8" t="s">
        <v>39</v>
      </c>
      <c r="I105" s="8" t="s">
        <v>40</v>
      </c>
      <c r="J105" s="8" t="s">
        <v>44</v>
      </c>
      <c r="K105" s="8" t="s">
        <v>33</v>
      </c>
      <c r="L105" s="8" t="s">
        <v>34</v>
      </c>
      <c r="M105" s="8" t="s">
        <v>30</v>
      </c>
      <c r="N105" s="26">
        <v>41458</v>
      </c>
      <c r="O105" s="14">
        <v>55.929233787440999</v>
      </c>
      <c r="P105" s="8">
        <v>26.573309167907802</v>
      </c>
      <c r="Q105" s="19">
        <f t="shared" si="10"/>
        <v>1486.2248209578647</v>
      </c>
      <c r="R105" s="20">
        <v>4.94743807881605E-2</v>
      </c>
      <c r="S105" s="29">
        <f t="shared" si="7"/>
        <v>73.530052728885067</v>
      </c>
      <c r="T105" s="20">
        <f t="shared" si="8"/>
        <v>1412.6947682289797</v>
      </c>
      <c r="U105" s="21">
        <v>7.2178319632885604</v>
      </c>
      <c r="V105" s="31">
        <f t="shared" si="9"/>
        <v>1419.9126001922682</v>
      </c>
    </row>
    <row r="106" spans="1:22" x14ac:dyDescent="0.3">
      <c r="A106" s="6" t="s">
        <v>549</v>
      </c>
      <c r="B106" s="6">
        <f t="shared" si="6"/>
        <v>2</v>
      </c>
      <c r="C106" s="7">
        <v>41454</v>
      </c>
      <c r="D106" s="8" t="s">
        <v>550</v>
      </c>
      <c r="E106" s="8">
        <v>225226</v>
      </c>
      <c r="F106" s="8" t="s">
        <v>551</v>
      </c>
      <c r="G106" s="8" t="s">
        <v>85</v>
      </c>
      <c r="H106" s="8" t="s">
        <v>74</v>
      </c>
      <c r="I106" s="8" t="s">
        <v>26</v>
      </c>
      <c r="J106" s="8" t="s">
        <v>552</v>
      </c>
      <c r="K106" s="8" t="s">
        <v>33</v>
      </c>
      <c r="L106" s="8" t="s">
        <v>54</v>
      </c>
      <c r="M106" s="8" t="s">
        <v>30</v>
      </c>
      <c r="N106" s="26">
        <v>41456</v>
      </c>
      <c r="O106" s="14">
        <v>2.08</v>
      </c>
      <c r="P106" s="8">
        <v>44</v>
      </c>
      <c r="Q106" s="19">
        <f t="shared" si="10"/>
        <v>91.52000000000001</v>
      </c>
      <c r="R106" s="20">
        <v>0.04</v>
      </c>
      <c r="S106" s="29">
        <f t="shared" si="7"/>
        <v>3.6608000000000005</v>
      </c>
      <c r="T106" s="20">
        <f t="shared" si="8"/>
        <v>87.859200000000016</v>
      </c>
      <c r="U106" s="21">
        <v>1.49</v>
      </c>
      <c r="V106" s="31">
        <f t="shared" si="9"/>
        <v>89.34920000000001</v>
      </c>
    </row>
    <row r="107" spans="1:22" x14ac:dyDescent="0.3">
      <c r="A107" s="6" t="s">
        <v>553</v>
      </c>
      <c r="B107" s="6">
        <f t="shared" si="6"/>
        <v>2</v>
      </c>
      <c r="C107" s="7">
        <v>41454</v>
      </c>
      <c r="D107" s="8" t="s">
        <v>554</v>
      </c>
      <c r="E107" s="8">
        <v>227228</v>
      </c>
      <c r="F107" s="8" t="s">
        <v>555</v>
      </c>
      <c r="G107" s="8" t="s">
        <v>38</v>
      </c>
      <c r="H107" s="8" t="s">
        <v>298</v>
      </c>
      <c r="I107" s="8" t="s">
        <v>49</v>
      </c>
      <c r="J107" s="8" t="s">
        <v>556</v>
      </c>
      <c r="K107" s="8" t="s">
        <v>28</v>
      </c>
      <c r="L107" s="8" t="s">
        <v>51</v>
      </c>
      <c r="M107" s="8" t="s">
        <v>30</v>
      </c>
      <c r="N107" s="26">
        <v>41456</v>
      </c>
      <c r="O107" s="14">
        <v>12.99</v>
      </c>
      <c r="P107" s="8">
        <v>49</v>
      </c>
      <c r="Q107" s="19">
        <f t="shared" si="10"/>
        <v>636.51</v>
      </c>
      <c r="R107" s="20">
        <v>7.0000000000000007E-2</v>
      </c>
      <c r="S107" s="29">
        <f t="shared" si="7"/>
        <v>44.555700000000002</v>
      </c>
      <c r="T107" s="20">
        <f t="shared" si="8"/>
        <v>591.95429999999999</v>
      </c>
      <c r="U107" s="21">
        <v>9.44</v>
      </c>
      <c r="V107" s="31">
        <f t="shared" si="9"/>
        <v>601.39430000000004</v>
      </c>
    </row>
    <row r="108" spans="1:22" x14ac:dyDescent="0.3">
      <c r="A108" s="6" t="s">
        <v>557</v>
      </c>
      <c r="B108" s="6">
        <f t="shared" si="6"/>
        <v>2</v>
      </c>
      <c r="C108" s="7">
        <v>41455</v>
      </c>
      <c r="D108" s="8" t="s">
        <v>558</v>
      </c>
      <c r="E108" s="8">
        <v>229230</v>
      </c>
      <c r="F108" s="8" t="s">
        <v>366</v>
      </c>
      <c r="G108" s="8" t="s">
        <v>38</v>
      </c>
      <c r="H108" s="8" t="s">
        <v>59</v>
      </c>
      <c r="I108" s="8" t="s">
        <v>40</v>
      </c>
      <c r="J108" s="8" t="s">
        <v>70</v>
      </c>
      <c r="K108" s="8" t="s">
        <v>28</v>
      </c>
      <c r="L108" s="8" t="s">
        <v>54</v>
      </c>
      <c r="M108" s="8" t="s">
        <v>30</v>
      </c>
      <c r="N108" s="26">
        <v>41459</v>
      </c>
      <c r="O108" s="14">
        <v>19.98</v>
      </c>
      <c r="P108" s="8">
        <v>19</v>
      </c>
      <c r="Q108" s="19">
        <f t="shared" si="10"/>
        <v>379.62</v>
      </c>
      <c r="R108" s="20">
        <v>0.08</v>
      </c>
      <c r="S108" s="29">
        <f t="shared" si="7"/>
        <v>30.369600000000002</v>
      </c>
      <c r="T108" s="20">
        <f t="shared" si="8"/>
        <v>349.25040000000001</v>
      </c>
      <c r="U108" s="21">
        <v>4</v>
      </c>
      <c r="V108" s="31">
        <f t="shared" si="9"/>
        <v>353.25040000000001</v>
      </c>
    </row>
    <row r="109" spans="1:22" x14ac:dyDescent="0.3">
      <c r="A109" s="6" t="s">
        <v>559</v>
      </c>
      <c r="B109" s="6">
        <f t="shared" si="6"/>
        <v>3</v>
      </c>
      <c r="C109" s="7">
        <v>41457</v>
      </c>
      <c r="D109" s="8" t="s">
        <v>560</v>
      </c>
      <c r="E109" s="8">
        <v>23</v>
      </c>
      <c r="F109" s="8" t="s">
        <v>561</v>
      </c>
      <c r="G109" s="8" t="s">
        <v>58</v>
      </c>
      <c r="H109" s="8" t="s">
        <v>39</v>
      </c>
      <c r="I109" s="8" t="s">
        <v>136</v>
      </c>
      <c r="J109" s="8" t="s">
        <v>27</v>
      </c>
      <c r="K109" s="8" t="s">
        <v>28</v>
      </c>
      <c r="L109" s="8" t="s">
        <v>29</v>
      </c>
      <c r="M109" s="8" t="s">
        <v>42</v>
      </c>
      <c r="N109" s="26">
        <v>41458</v>
      </c>
      <c r="O109" s="14">
        <v>8.1199999999999992</v>
      </c>
      <c r="P109" s="8">
        <v>32</v>
      </c>
      <c r="Q109" s="19">
        <f t="shared" si="10"/>
        <v>259.83999999999997</v>
      </c>
      <c r="R109" s="20">
        <v>0.08</v>
      </c>
      <c r="S109" s="29">
        <f t="shared" si="7"/>
        <v>20.787199999999999</v>
      </c>
      <c r="T109" s="20">
        <f t="shared" si="8"/>
        <v>239.05279999999999</v>
      </c>
      <c r="U109" s="21">
        <v>2.83</v>
      </c>
      <c r="V109" s="31">
        <f t="shared" si="9"/>
        <v>241.8828</v>
      </c>
    </row>
    <row r="110" spans="1:22" x14ac:dyDescent="0.3">
      <c r="A110" s="6" t="s">
        <v>562</v>
      </c>
      <c r="B110" s="6">
        <f t="shared" si="6"/>
        <v>3</v>
      </c>
      <c r="C110" s="7">
        <v>41458</v>
      </c>
      <c r="D110" s="8" t="s">
        <v>563</v>
      </c>
      <c r="E110" s="8">
        <v>23</v>
      </c>
      <c r="F110" s="8" t="s">
        <v>564</v>
      </c>
      <c r="G110" s="8" t="s">
        <v>85</v>
      </c>
      <c r="H110" s="8" t="s">
        <v>48</v>
      </c>
      <c r="I110" s="8" t="s">
        <v>136</v>
      </c>
      <c r="J110" s="8" t="s">
        <v>565</v>
      </c>
      <c r="K110" s="8" t="s">
        <v>33</v>
      </c>
      <c r="L110" s="8" t="s">
        <v>54</v>
      </c>
      <c r="M110" s="8" t="s">
        <v>30</v>
      </c>
      <c r="N110" s="26">
        <v>41460</v>
      </c>
      <c r="O110" s="14">
        <v>3.15</v>
      </c>
      <c r="P110" s="8">
        <v>23</v>
      </c>
      <c r="Q110" s="19">
        <f t="shared" si="10"/>
        <v>72.45</v>
      </c>
      <c r="R110" s="20">
        <v>0.01</v>
      </c>
      <c r="S110" s="29">
        <f t="shared" si="7"/>
        <v>0.72450000000000003</v>
      </c>
      <c r="T110" s="20">
        <f t="shared" si="8"/>
        <v>71.725499999999997</v>
      </c>
      <c r="U110" s="21">
        <v>0.49</v>
      </c>
      <c r="V110" s="31">
        <f t="shared" si="9"/>
        <v>72.215499999999992</v>
      </c>
    </row>
    <row r="111" spans="1:22" x14ac:dyDescent="0.3">
      <c r="A111" s="6" t="s">
        <v>566</v>
      </c>
      <c r="B111" s="6">
        <f t="shared" si="6"/>
        <v>3</v>
      </c>
      <c r="C111" s="7">
        <v>41458</v>
      </c>
      <c r="D111" s="8" t="s">
        <v>567</v>
      </c>
      <c r="E111" s="8">
        <v>23</v>
      </c>
      <c r="F111" s="8" t="s">
        <v>306</v>
      </c>
      <c r="G111" s="8" t="s">
        <v>24</v>
      </c>
      <c r="H111" s="8" t="s">
        <v>25</v>
      </c>
      <c r="I111" s="8" t="s">
        <v>49</v>
      </c>
      <c r="J111" s="8" t="s">
        <v>568</v>
      </c>
      <c r="K111" s="8" t="s">
        <v>33</v>
      </c>
      <c r="L111" s="8" t="s">
        <v>54</v>
      </c>
      <c r="M111" s="8" t="s">
        <v>30</v>
      </c>
      <c r="N111" s="26">
        <v>41460</v>
      </c>
      <c r="O111" s="14">
        <v>27.18</v>
      </c>
      <c r="P111" s="8">
        <v>34</v>
      </c>
      <c r="Q111" s="19">
        <f t="shared" si="10"/>
        <v>924.12</v>
      </c>
      <c r="R111" s="20">
        <v>0.1</v>
      </c>
      <c r="S111" s="29">
        <f t="shared" si="7"/>
        <v>92.412000000000006</v>
      </c>
      <c r="T111" s="20">
        <f t="shared" si="8"/>
        <v>831.70799999999997</v>
      </c>
      <c r="U111" s="21">
        <v>8.23</v>
      </c>
      <c r="V111" s="31">
        <f t="shared" si="9"/>
        <v>839.93799999999999</v>
      </c>
    </row>
    <row r="112" spans="1:22" x14ac:dyDescent="0.3">
      <c r="A112" s="6" t="s">
        <v>569</v>
      </c>
      <c r="B112" s="6">
        <f t="shared" si="6"/>
        <v>3</v>
      </c>
      <c r="C112" s="7">
        <v>41459</v>
      </c>
      <c r="D112" s="8" t="s">
        <v>570</v>
      </c>
      <c r="E112" s="8">
        <v>23</v>
      </c>
      <c r="F112" s="8" t="s">
        <v>571</v>
      </c>
      <c r="G112" s="8" t="s">
        <v>38</v>
      </c>
      <c r="H112" s="8" t="s">
        <v>48</v>
      </c>
      <c r="I112" s="8" t="s">
        <v>60</v>
      </c>
      <c r="J112" s="8" t="s">
        <v>132</v>
      </c>
      <c r="K112" s="8" t="s">
        <v>33</v>
      </c>
      <c r="L112" s="8" t="s">
        <v>34</v>
      </c>
      <c r="M112" s="8" t="s">
        <v>30</v>
      </c>
      <c r="N112" s="26">
        <v>41460</v>
      </c>
      <c r="O112" s="14">
        <v>2.62</v>
      </c>
      <c r="P112" s="8">
        <v>21</v>
      </c>
      <c r="Q112" s="19">
        <f t="shared" si="10"/>
        <v>55.02</v>
      </c>
      <c r="R112" s="20">
        <v>0.05</v>
      </c>
      <c r="S112" s="29">
        <f t="shared" si="7"/>
        <v>2.7510000000000003</v>
      </c>
      <c r="T112" s="20">
        <f t="shared" si="8"/>
        <v>52.269000000000005</v>
      </c>
      <c r="U112" s="21">
        <v>0.8</v>
      </c>
      <c r="V112" s="31">
        <f t="shared" si="9"/>
        <v>53.069000000000003</v>
      </c>
    </row>
    <row r="113" spans="1:22" x14ac:dyDescent="0.3">
      <c r="A113" s="6" t="s">
        <v>45</v>
      </c>
      <c r="B113" s="6">
        <f t="shared" si="6"/>
        <v>3</v>
      </c>
      <c r="C113" s="7">
        <v>41460</v>
      </c>
      <c r="D113" s="8" t="s">
        <v>46</v>
      </c>
      <c r="E113" s="8">
        <v>10</v>
      </c>
      <c r="F113" s="8" t="s">
        <v>47</v>
      </c>
      <c r="G113" s="8" t="s">
        <v>24</v>
      </c>
      <c r="H113" s="8" t="s">
        <v>48</v>
      </c>
      <c r="I113" s="8" t="s">
        <v>49</v>
      </c>
      <c r="J113" s="8" t="s">
        <v>50</v>
      </c>
      <c r="K113" s="8" t="s">
        <v>28</v>
      </c>
      <c r="L113" s="8" t="s">
        <v>51</v>
      </c>
      <c r="M113" s="8" t="s">
        <v>30</v>
      </c>
      <c r="N113" s="26">
        <v>41462</v>
      </c>
      <c r="O113" s="14">
        <v>20.99</v>
      </c>
      <c r="P113" s="8">
        <v>41</v>
      </c>
      <c r="Q113" s="19">
        <f t="shared" si="10"/>
        <v>860.58999999999992</v>
      </c>
      <c r="R113" s="20">
        <v>0.02</v>
      </c>
      <c r="S113" s="29">
        <f t="shared" si="7"/>
        <v>17.2118</v>
      </c>
      <c r="T113" s="20">
        <f t="shared" si="8"/>
        <v>843.37819999999988</v>
      </c>
      <c r="U113" s="21">
        <v>4.8099999999999996</v>
      </c>
      <c r="V113" s="31">
        <f t="shared" si="9"/>
        <v>848.18819999999982</v>
      </c>
    </row>
    <row r="114" spans="1:22" x14ac:dyDescent="0.3">
      <c r="A114" s="6" t="s">
        <v>52</v>
      </c>
      <c r="B114" s="6">
        <f t="shared" si="6"/>
        <v>3</v>
      </c>
      <c r="C114" s="7">
        <v>41460</v>
      </c>
      <c r="D114" s="8" t="s">
        <v>46</v>
      </c>
      <c r="E114" s="8">
        <v>10</v>
      </c>
      <c r="F114" s="8" t="s">
        <v>47</v>
      </c>
      <c r="G114" s="8" t="s">
        <v>24</v>
      </c>
      <c r="H114" s="8" t="s">
        <v>48</v>
      </c>
      <c r="I114" s="8" t="s">
        <v>49</v>
      </c>
      <c r="J114" s="8" t="s">
        <v>53</v>
      </c>
      <c r="K114" s="8" t="s">
        <v>33</v>
      </c>
      <c r="L114" s="8" t="s">
        <v>54</v>
      </c>
      <c r="M114" s="8" t="s">
        <v>42</v>
      </c>
      <c r="N114" s="26">
        <v>41462</v>
      </c>
      <c r="O114" s="14">
        <v>5.4</v>
      </c>
      <c r="P114" s="8">
        <v>26</v>
      </c>
      <c r="Q114" s="19">
        <f t="shared" si="10"/>
        <v>140.4</v>
      </c>
      <c r="R114" s="20">
        <v>0.05</v>
      </c>
      <c r="S114" s="29">
        <f t="shared" si="7"/>
        <v>7.0200000000000005</v>
      </c>
      <c r="T114" s="20">
        <f t="shared" si="8"/>
        <v>133.38</v>
      </c>
      <c r="U114" s="21">
        <v>7.78</v>
      </c>
      <c r="V114" s="31">
        <f t="shared" si="9"/>
        <v>141.16</v>
      </c>
    </row>
    <row r="115" spans="1:22" x14ac:dyDescent="0.3">
      <c r="A115" s="6" t="s">
        <v>1079</v>
      </c>
      <c r="B115" s="6">
        <f t="shared" si="6"/>
        <v>3</v>
      </c>
      <c r="C115" s="7">
        <v>41460</v>
      </c>
      <c r="D115" s="8" t="s">
        <v>46</v>
      </c>
      <c r="E115" s="8">
        <v>217458.45038654399</v>
      </c>
      <c r="F115" s="8" t="s">
        <v>47</v>
      </c>
      <c r="G115" s="8" t="s">
        <v>24</v>
      </c>
      <c r="H115" s="8" t="s">
        <v>48</v>
      </c>
      <c r="I115" s="8" t="s">
        <v>49</v>
      </c>
      <c r="J115" s="8" t="s">
        <v>1080</v>
      </c>
      <c r="K115" s="8" t="s">
        <v>28</v>
      </c>
      <c r="L115" s="8" t="s">
        <v>51</v>
      </c>
      <c r="M115" s="8" t="s">
        <v>30</v>
      </c>
      <c r="N115" s="26">
        <v>41462</v>
      </c>
      <c r="O115" s="14">
        <v>55.974618606616303</v>
      </c>
      <c r="P115" s="8">
        <v>26.576370520573501</v>
      </c>
      <c r="Q115" s="19">
        <f t="shared" si="10"/>
        <v>1487.6022038372225</v>
      </c>
      <c r="R115" s="20">
        <v>4.9458131116465499E-2</v>
      </c>
      <c r="S115" s="29">
        <f t="shared" si="7"/>
        <v>73.574024846524395</v>
      </c>
      <c r="T115" s="20">
        <f t="shared" si="8"/>
        <v>1414.0281789906981</v>
      </c>
      <c r="U115" s="21">
        <v>7.22309288626208</v>
      </c>
      <c r="V115" s="31">
        <f t="shared" si="9"/>
        <v>1421.2512718769601</v>
      </c>
    </row>
    <row r="116" spans="1:22" x14ac:dyDescent="0.3">
      <c r="A116" s="6" t="s">
        <v>1079</v>
      </c>
      <c r="B116" s="6">
        <f t="shared" si="6"/>
        <v>3</v>
      </c>
      <c r="C116" s="7">
        <v>41460</v>
      </c>
      <c r="D116" s="8" t="s">
        <v>46</v>
      </c>
      <c r="E116" s="8">
        <v>217458.45038654399</v>
      </c>
      <c r="F116" s="8" t="s">
        <v>47</v>
      </c>
      <c r="G116" s="8" t="s">
        <v>24</v>
      </c>
      <c r="H116" s="8" t="s">
        <v>48</v>
      </c>
      <c r="I116" s="8" t="s">
        <v>49</v>
      </c>
      <c r="J116" s="8" t="s">
        <v>1080</v>
      </c>
      <c r="K116" s="8" t="s">
        <v>28</v>
      </c>
      <c r="L116" s="8" t="s">
        <v>51</v>
      </c>
      <c r="M116" s="8" t="s">
        <v>30</v>
      </c>
      <c r="N116" s="26">
        <v>41462</v>
      </c>
      <c r="O116" s="14">
        <v>55.974618606616303</v>
      </c>
      <c r="P116" s="8">
        <v>26.576370520573501</v>
      </c>
      <c r="Q116" s="19">
        <f t="shared" si="10"/>
        <v>1487.6022038372225</v>
      </c>
      <c r="R116" s="20">
        <v>4.9458131116465499E-2</v>
      </c>
      <c r="S116" s="29">
        <f t="shared" si="7"/>
        <v>73.574024846524395</v>
      </c>
      <c r="T116" s="20">
        <f t="shared" si="8"/>
        <v>1414.0281789906981</v>
      </c>
      <c r="U116" s="21">
        <v>7.22309288626208</v>
      </c>
      <c r="V116" s="31">
        <f t="shared" si="9"/>
        <v>1421.2512718769601</v>
      </c>
    </row>
    <row r="117" spans="1:22" x14ac:dyDescent="0.3">
      <c r="A117" s="6" t="s">
        <v>1079</v>
      </c>
      <c r="B117" s="6">
        <f t="shared" si="6"/>
        <v>3</v>
      </c>
      <c r="C117" s="7">
        <v>41460</v>
      </c>
      <c r="D117" s="8" t="s">
        <v>46</v>
      </c>
      <c r="E117" s="8">
        <v>217458.45038654399</v>
      </c>
      <c r="F117" s="8" t="s">
        <v>47</v>
      </c>
      <c r="G117" s="8" t="s">
        <v>24</v>
      </c>
      <c r="H117" s="8" t="s">
        <v>48</v>
      </c>
      <c r="I117" s="8" t="s">
        <v>49</v>
      </c>
      <c r="J117" s="8" t="s">
        <v>1080</v>
      </c>
      <c r="K117" s="8" t="s">
        <v>28</v>
      </c>
      <c r="L117" s="8" t="s">
        <v>51</v>
      </c>
      <c r="M117" s="8" t="s">
        <v>30</v>
      </c>
      <c r="N117" s="26">
        <v>41462</v>
      </c>
      <c r="O117" s="14">
        <v>55.974618606616303</v>
      </c>
      <c r="P117" s="8">
        <v>26.576370520573501</v>
      </c>
      <c r="Q117" s="19">
        <f t="shared" si="10"/>
        <v>1487.6022038372225</v>
      </c>
      <c r="R117" s="20">
        <v>4.9458131116465499E-2</v>
      </c>
      <c r="S117" s="29">
        <f t="shared" si="7"/>
        <v>73.574024846524395</v>
      </c>
      <c r="T117" s="20">
        <f t="shared" si="8"/>
        <v>1414.0281789906981</v>
      </c>
      <c r="U117" s="21">
        <v>7.22309288626208</v>
      </c>
      <c r="V117" s="31">
        <f t="shared" si="9"/>
        <v>1421.2512718769601</v>
      </c>
    </row>
    <row r="118" spans="1:22" x14ac:dyDescent="0.3">
      <c r="A118" s="6" t="s">
        <v>1079</v>
      </c>
      <c r="B118" s="6">
        <f t="shared" si="6"/>
        <v>3</v>
      </c>
      <c r="C118" s="7">
        <v>41460</v>
      </c>
      <c r="D118" s="8" t="s">
        <v>46</v>
      </c>
      <c r="E118" s="8">
        <v>217458.45038654399</v>
      </c>
      <c r="F118" s="8" t="s">
        <v>47</v>
      </c>
      <c r="G118" s="8" t="s">
        <v>24</v>
      </c>
      <c r="H118" s="8" t="s">
        <v>48</v>
      </c>
      <c r="I118" s="8" t="s">
        <v>49</v>
      </c>
      <c r="J118" s="8" t="s">
        <v>1080</v>
      </c>
      <c r="K118" s="8" t="s">
        <v>28</v>
      </c>
      <c r="L118" s="8" t="s">
        <v>51</v>
      </c>
      <c r="M118" s="8" t="s">
        <v>30</v>
      </c>
      <c r="N118" s="26">
        <v>41462</v>
      </c>
      <c r="O118" s="14">
        <v>55.974618606616303</v>
      </c>
      <c r="P118" s="8">
        <v>26.576370520573501</v>
      </c>
      <c r="Q118" s="19">
        <f t="shared" si="10"/>
        <v>1487.6022038372225</v>
      </c>
      <c r="R118" s="20">
        <v>4.9458131116465499E-2</v>
      </c>
      <c r="S118" s="29">
        <f t="shared" si="7"/>
        <v>73.574024846524395</v>
      </c>
      <c r="T118" s="20">
        <f t="shared" si="8"/>
        <v>1414.0281789906981</v>
      </c>
      <c r="U118" s="21">
        <v>7.22309288626208</v>
      </c>
      <c r="V118" s="31">
        <f t="shared" si="9"/>
        <v>1421.2512718769601</v>
      </c>
    </row>
    <row r="119" spans="1:22" x14ac:dyDescent="0.3">
      <c r="A119" s="6" t="s">
        <v>1081</v>
      </c>
      <c r="B119" s="6">
        <f t="shared" si="6"/>
        <v>3</v>
      </c>
      <c r="C119" s="7">
        <v>41460</v>
      </c>
      <c r="D119" s="8" t="s">
        <v>46</v>
      </c>
      <c r="E119" s="8">
        <v>217846.383089151</v>
      </c>
      <c r="F119" s="8" t="s">
        <v>47</v>
      </c>
      <c r="G119" s="8" t="s">
        <v>24</v>
      </c>
      <c r="H119" s="8" t="s">
        <v>48</v>
      </c>
      <c r="I119" s="8" t="s">
        <v>49</v>
      </c>
      <c r="J119" s="8" t="s">
        <v>53</v>
      </c>
      <c r="K119" s="8" t="s">
        <v>33</v>
      </c>
      <c r="L119" s="8" t="s">
        <v>54</v>
      </c>
      <c r="M119" s="8" t="s">
        <v>42</v>
      </c>
      <c r="N119" s="26">
        <v>41462</v>
      </c>
      <c r="O119" s="14">
        <v>56.0200034257916</v>
      </c>
      <c r="P119" s="8">
        <v>26.579431873239201</v>
      </c>
      <c r="Q119" s="19">
        <f t="shared" si="10"/>
        <v>1488.9798645944545</v>
      </c>
      <c r="R119" s="20">
        <v>4.9441881444770498E-2</v>
      </c>
      <c r="S119" s="29">
        <f t="shared" si="7"/>
        <v>73.617965938929444</v>
      </c>
      <c r="T119" s="20">
        <f t="shared" si="8"/>
        <v>1415.361898655525</v>
      </c>
      <c r="U119" s="21">
        <v>7.2283538092355997</v>
      </c>
      <c r="V119" s="31">
        <f t="shared" si="9"/>
        <v>1422.5902524647606</v>
      </c>
    </row>
    <row r="120" spans="1:22" x14ac:dyDescent="0.3">
      <c r="A120" s="6" t="s">
        <v>1081</v>
      </c>
      <c r="B120" s="6">
        <f t="shared" si="6"/>
        <v>3</v>
      </c>
      <c r="C120" s="7">
        <v>41460</v>
      </c>
      <c r="D120" s="8" t="s">
        <v>46</v>
      </c>
      <c r="E120" s="8">
        <v>217846.383089151</v>
      </c>
      <c r="F120" s="8" t="s">
        <v>47</v>
      </c>
      <c r="G120" s="8" t="s">
        <v>24</v>
      </c>
      <c r="H120" s="8" t="s">
        <v>48</v>
      </c>
      <c r="I120" s="8" t="s">
        <v>49</v>
      </c>
      <c r="J120" s="8" t="s">
        <v>53</v>
      </c>
      <c r="K120" s="8" t="s">
        <v>33</v>
      </c>
      <c r="L120" s="8" t="s">
        <v>54</v>
      </c>
      <c r="M120" s="8" t="s">
        <v>42</v>
      </c>
      <c r="N120" s="26">
        <v>41462</v>
      </c>
      <c r="O120" s="14">
        <v>56.0200034257916</v>
      </c>
      <c r="P120" s="8">
        <v>26.579431873239201</v>
      </c>
      <c r="Q120" s="19">
        <f t="shared" si="10"/>
        <v>1488.9798645944545</v>
      </c>
      <c r="R120" s="20">
        <v>4.9441881444770498E-2</v>
      </c>
      <c r="S120" s="29">
        <f t="shared" si="7"/>
        <v>73.617965938929444</v>
      </c>
      <c r="T120" s="20">
        <f t="shared" si="8"/>
        <v>1415.361898655525</v>
      </c>
      <c r="U120" s="21">
        <v>7.2283538092355997</v>
      </c>
      <c r="V120" s="31">
        <f t="shared" si="9"/>
        <v>1422.5902524647606</v>
      </c>
    </row>
    <row r="121" spans="1:22" x14ac:dyDescent="0.3">
      <c r="A121" s="6" t="s">
        <v>1081</v>
      </c>
      <c r="B121" s="6">
        <f t="shared" si="6"/>
        <v>3</v>
      </c>
      <c r="C121" s="7">
        <v>41460</v>
      </c>
      <c r="D121" s="8" t="s">
        <v>46</v>
      </c>
      <c r="E121" s="8">
        <v>217846.383089151</v>
      </c>
      <c r="F121" s="8" t="s">
        <v>47</v>
      </c>
      <c r="G121" s="8" t="s">
        <v>24</v>
      </c>
      <c r="H121" s="8" t="s">
        <v>48</v>
      </c>
      <c r="I121" s="8" t="s">
        <v>49</v>
      </c>
      <c r="J121" s="8" t="s">
        <v>53</v>
      </c>
      <c r="K121" s="8" t="s">
        <v>33</v>
      </c>
      <c r="L121" s="8" t="s">
        <v>54</v>
      </c>
      <c r="M121" s="8" t="s">
        <v>42</v>
      </c>
      <c r="N121" s="26">
        <v>41462</v>
      </c>
      <c r="O121" s="14">
        <v>56.0200034257916</v>
      </c>
      <c r="P121" s="8">
        <v>26.579431873239201</v>
      </c>
      <c r="Q121" s="19">
        <f t="shared" si="10"/>
        <v>1488.9798645944545</v>
      </c>
      <c r="R121" s="20">
        <v>4.9441881444770498E-2</v>
      </c>
      <c r="S121" s="29">
        <f t="shared" si="7"/>
        <v>73.617965938929444</v>
      </c>
      <c r="T121" s="20">
        <f t="shared" si="8"/>
        <v>1415.361898655525</v>
      </c>
      <c r="U121" s="21">
        <v>7.2283538092355997</v>
      </c>
      <c r="V121" s="31">
        <f t="shared" si="9"/>
        <v>1422.5902524647606</v>
      </c>
    </row>
    <row r="122" spans="1:22" x14ac:dyDescent="0.3">
      <c r="A122" s="6" t="s">
        <v>1081</v>
      </c>
      <c r="B122" s="6">
        <f t="shared" si="6"/>
        <v>3</v>
      </c>
      <c r="C122" s="7">
        <v>41460</v>
      </c>
      <c r="D122" s="8" t="s">
        <v>46</v>
      </c>
      <c r="E122" s="8">
        <v>217846.383089151</v>
      </c>
      <c r="F122" s="8" t="s">
        <v>47</v>
      </c>
      <c r="G122" s="8" t="s">
        <v>24</v>
      </c>
      <c r="H122" s="8" t="s">
        <v>48</v>
      </c>
      <c r="I122" s="8" t="s">
        <v>49</v>
      </c>
      <c r="J122" s="8" t="s">
        <v>53</v>
      </c>
      <c r="K122" s="8" t="s">
        <v>33</v>
      </c>
      <c r="L122" s="8" t="s">
        <v>54</v>
      </c>
      <c r="M122" s="8" t="s">
        <v>42</v>
      </c>
      <c r="N122" s="26">
        <v>41462</v>
      </c>
      <c r="O122" s="14">
        <v>56.0200034257916</v>
      </c>
      <c r="P122" s="8">
        <v>26.579431873239201</v>
      </c>
      <c r="Q122" s="19">
        <f t="shared" si="10"/>
        <v>1488.9798645944545</v>
      </c>
      <c r="R122" s="20">
        <v>4.9441881444770498E-2</v>
      </c>
      <c r="S122" s="29">
        <f t="shared" si="7"/>
        <v>73.617965938929444</v>
      </c>
      <c r="T122" s="20">
        <f t="shared" si="8"/>
        <v>1415.361898655525</v>
      </c>
      <c r="U122" s="21">
        <v>7.2283538092355997</v>
      </c>
      <c r="V122" s="31">
        <f t="shared" si="9"/>
        <v>1422.5902524647606</v>
      </c>
    </row>
    <row r="123" spans="1:22" x14ac:dyDescent="0.3">
      <c r="A123" s="6" t="s">
        <v>572</v>
      </c>
      <c r="B123" s="6">
        <f t="shared" si="6"/>
        <v>3</v>
      </c>
      <c r="C123" s="7">
        <v>41461</v>
      </c>
      <c r="D123" s="8" t="s">
        <v>361</v>
      </c>
      <c r="E123" s="8">
        <v>165166</v>
      </c>
      <c r="F123" s="8" t="s">
        <v>362</v>
      </c>
      <c r="G123" s="8" t="s">
        <v>38</v>
      </c>
      <c r="H123" s="8" t="s">
        <v>288</v>
      </c>
      <c r="I123" s="8" t="s">
        <v>26</v>
      </c>
      <c r="J123" s="8" t="s">
        <v>573</v>
      </c>
      <c r="K123" s="8" t="s">
        <v>33</v>
      </c>
      <c r="L123" s="8" t="s">
        <v>54</v>
      </c>
      <c r="M123" s="8" t="s">
        <v>30</v>
      </c>
      <c r="N123" s="26">
        <v>41461</v>
      </c>
      <c r="O123" s="14">
        <v>35.94</v>
      </c>
      <c r="P123" s="8">
        <v>28</v>
      </c>
      <c r="Q123" s="19">
        <f t="shared" si="10"/>
        <v>1006.3199999999999</v>
      </c>
      <c r="R123" s="20">
        <v>0.01</v>
      </c>
      <c r="S123" s="29">
        <f t="shared" si="7"/>
        <v>10.0632</v>
      </c>
      <c r="T123" s="20">
        <f t="shared" si="8"/>
        <v>996.25679999999988</v>
      </c>
      <c r="U123" s="21">
        <v>6.66</v>
      </c>
      <c r="V123" s="31">
        <f t="shared" si="9"/>
        <v>1002.9167999999999</v>
      </c>
    </row>
    <row r="124" spans="1:22" x14ac:dyDescent="0.3">
      <c r="A124" s="6" t="s">
        <v>574</v>
      </c>
      <c r="B124" s="6">
        <f t="shared" si="6"/>
        <v>3</v>
      </c>
      <c r="C124" s="7">
        <v>41465</v>
      </c>
      <c r="D124" s="8" t="s">
        <v>575</v>
      </c>
      <c r="E124" s="8">
        <v>231232</v>
      </c>
      <c r="F124" s="8" t="s">
        <v>576</v>
      </c>
      <c r="G124" s="8" t="s">
        <v>24</v>
      </c>
      <c r="H124" s="8" t="s">
        <v>288</v>
      </c>
      <c r="I124" s="8" t="s">
        <v>60</v>
      </c>
      <c r="J124" s="8" t="s">
        <v>577</v>
      </c>
      <c r="K124" s="8" t="s">
        <v>33</v>
      </c>
      <c r="L124" s="8" t="s">
        <v>54</v>
      </c>
      <c r="M124" s="8" t="s">
        <v>30</v>
      </c>
      <c r="N124" s="26">
        <v>41465</v>
      </c>
      <c r="O124" s="14">
        <v>4.49</v>
      </c>
      <c r="P124" s="8">
        <v>11</v>
      </c>
      <c r="Q124" s="19">
        <f t="shared" si="10"/>
        <v>49.39</v>
      </c>
      <c r="R124" s="20">
        <v>0.08</v>
      </c>
      <c r="S124" s="29">
        <f t="shared" si="7"/>
        <v>3.9512</v>
      </c>
      <c r="T124" s="20">
        <f t="shared" si="8"/>
        <v>45.438800000000001</v>
      </c>
      <c r="U124" s="21">
        <v>1.49</v>
      </c>
      <c r="V124" s="31">
        <f t="shared" si="9"/>
        <v>46.928800000000003</v>
      </c>
    </row>
    <row r="125" spans="1:22" x14ac:dyDescent="0.3">
      <c r="A125" s="6" t="s">
        <v>578</v>
      </c>
      <c r="B125" s="6">
        <f t="shared" si="6"/>
        <v>3</v>
      </c>
      <c r="C125" s="7">
        <v>41465</v>
      </c>
      <c r="D125" s="8" t="s">
        <v>379</v>
      </c>
      <c r="E125" s="8">
        <v>17</v>
      </c>
      <c r="F125" s="8" t="s">
        <v>380</v>
      </c>
      <c r="G125" s="8" t="s">
        <v>24</v>
      </c>
      <c r="H125" s="8" t="s">
        <v>48</v>
      </c>
      <c r="I125" s="8" t="s">
        <v>49</v>
      </c>
      <c r="J125" s="8" t="s">
        <v>232</v>
      </c>
      <c r="K125" s="8" t="s">
        <v>33</v>
      </c>
      <c r="L125" s="8" t="s">
        <v>34</v>
      </c>
      <c r="M125" s="8" t="s">
        <v>30</v>
      </c>
      <c r="N125" s="26">
        <v>41468</v>
      </c>
      <c r="O125" s="14">
        <v>9.11</v>
      </c>
      <c r="P125" s="8">
        <v>6</v>
      </c>
      <c r="Q125" s="19">
        <f t="shared" si="10"/>
        <v>54.66</v>
      </c>
      <c r="R125" s="20">
        <v>0.04</v>
      </c>
      <c r="S125" s="29">
        <f t="shared" si="7"/>
        <v>2.1863999999999999</v>
      </c>
      <c r="T125" s="20">
        <f t="shared" si="8"/>
        <v>52.473599999999998</v>
      </c>
      <c r="U125" s="21">
        <v>2.25</v>
      </c>
      <c r="V125" s="31">
        <f t="shared" si="9"/>
        <v>54.723599999999998</v>
      </c>
    </row>
    <row r="126" spans="1:22" x14ac:dyDescent="0.3">
      <c r="A126" s="6" t="s">
        <v>55</v>
      </c>
      <c r="B126" s="6">
        <f t="shared" si="6"/>
        <v>3</v>
      </c>
      <c r="C126" s="7">
        <v>41470</v>
      </c>
      <c r="D126" s="8" t="s">
        <v>56</v>
      </c>
      <c r="E126" s="8">
        <v>10</v>
      </c>
      <c r="F126" s="8" t="s">
        <v>57</v>
      </c>
      <c r="G126" s="8" t="s">
        <v>58</v>
      </c>
      <c r="H126" s="8" t="s">
        <v>59</v>
      </c>
      <c r="I126" s="8" t="s">
        <v>60</v>
      </c>
      <c r="J126" s="8" t="s">
        <v>61</v>
      </c>
      <c r="K126" s="8" t="s">
        <v>33</v>
      </c>
      <c r="L126" s="8" t="s">
        <v>34</v>
      </c>
      <c r="M126" s="8" t="s">
        <v>30</v>
      </c>
      <c r="N126" s="26">
        <v>41471</v>
      </c>
      <c r="O126" s="14">
        <v>6.47</v>
      </c>
      <c r="P126" s="8">
        <v>20</v>
      </c>
      <c r="Q126" s="19">
        <f t="shared" si="10"/>
        <v>129.4</v>
      </c>
      <c r="R126" s="20">
        <v>0.02</v>
      </c>
      <c r="S126" s="29">
        <f t="shared" si="7"/>
        <v>2.5880000000000001</v>
      </c>
      <c r="T126" s="20">
        <f t="shared" si="8"/>
        <v>126.81200000000001</v>
      </c>
      <c r="U126" s="21">
        <v>1.22</v>
      </c>
      <c r="V126" s="31">
        <f t="shared" si="9"/>
        <v>128.03200000000001</v>
      </c>
    </row>
    <row r="127" spans="1:22" x14ac:dyDescent="0.3">
      <c r="A127" s="6" t="s">
        <v>62</v>
      </c>
      <c r="B127" s="6">
        <f t="shared" si="6"/>
        <v>3</v>
      </c>
      <c r="C127" s="7">
        <v>41470</v>
      </c>
      <c r="D127" s="8" t="s">
        <v>56</v>
      </c>
      <c r="E127" s="8">
        <v>10</v>
      </c>
      <c r="F127" s="8" t="s">
        <v>57</v>
      </c>
      <c r="G127" s="8" t="s">
        <v>58</v>
      </c>
      <c r="H127" s="8" t="s">
        <v>59</v>
      </c>
      <c r="I127" s="8" t="s">
        <v>60</v>
      </c>
      <c r="J127" s="8" t="s">
        <v>63</v>
      </c>
      <c r="K127" s="8" t="s">
        <v>33</v>
      </c>
      <c r="L127" s="8" t="s">
        <v>34</v>
      </c>
      <c r="M127" s="8" t="s">
        <v>30</v>
      </c>
      <c r="N127" s="26">
        <v>41472</v>
      </c>
      <c r="O127" s="14">
        <v>2.84</v>
      </c>
      <c r="P127" s="8">
        <v>39</v>
      </c>
      <c r="Q127" s="19">
        <f t="shared" si="10"/>
        <v>110.75999999999999</v>
      </c>
      <c r="R127" s="20">
        <v>7.0000000000000007E-2</v>
      </c>
      <c r="S127" s="29">
        <f t="shared" si="7"/>
        <v>7.7532000000000005</v>
      </c>
      <c r="T127" s="20">
        <f t="shared" si="8"/>
        <v>103.00679999999998</v>
      </c>
      <c r="U127" s="21">
        <v>0.93</v>
      </c>
      <c r="V127" s="31">
        <f t="shared" si="9"/>
        <v>103.93679999999999</v>
      </c>
    </row>
    <row r="128" spans="1:22" x14ac:dyDescent="0.3">
      <c r="A128" s="6" t="s">
        <v>1082</v>
      </c>
      <c r="B128" s="6">
        <f t="shared" si="6"/>
        <v>3</v>
      </c>
      <c r="C128" s="7">
        <v>41470</v>
      </c>
      <c r="D128" s="8" t="s">
        <v>56</v>
      </c>
      <c r="E128" s="8">
        <v>218234.31579175801</v>
      </c>
      <c r="F128" s="8" t="s">
        <v>57</v>
      </c>
      <c r="G128" s="8" t="s">
        <v>58</v>
      </c>
      <c r="H128" s="8" t="s">
        <v>59</v>
      </c>
      <c r="I128" s="8" t="s">
        <v>60</v>
      </c>
      <c r="J128" s="8" t="s">
        <v>61</v>
      </c>
      <c r="K128" s="8" t="s">
        <v>33</v>
      </c>
      <c r="L128" s="8" t="s">
        <v>34</v>
      </c>
      <c r="M128" s="8" t="s">
        <v>30</v>
      </c>
      <c r="N128" s="26">
        <v>41471</v>
      </c>
      <c r="O128" s="14">
        <v>56.065388244966897</v>
      </c>
      <c r="P128" s="8">
        <v>26.582493225904901</v>
      </c>
      <c r="Q128" s="19">
        <f t="shared" si="10"/>
        <v>1490.3578032295609</v>
      </c>
      <c r="R128" s="20">
        <v>4.9425631773075601E-2</v>
      </c>
      <c r="S128" s="29">
        <f t="shared" si="7"/>
        <v>73.661875992554144</v>
      </c>
      <c r="T128" s="20">
        <f t="shared" si="8"/>
        <v>1416.6959272370068</v>
      </c>
      <c r="U128" s="21">
        <v>7.2336147322091202</v>
      </c>
      <c r="V128" s="31">
        <f t="shared" si="9"/>
        <v>1423.929541969216</v>
      </c>
    </row>
    <row r="129" spans="1:22" x14ac:dyDescent="0.3">
      <c r="A129" s="6" t="s">
        <v>1082</v>
      </c>
      <c r="B129" s="6">
        <f t="shared" si="6"/>
        <v>3</v>
      </c>
      <c r="C129" s="7">
        <v>41470</v>
      </c>
      <c r="D129" s="8" t="s">
        <v>56</v>
      </c>
      <c r="E129" s="8">
        <v>218234.31579175801</v>
      </c>
      <c r="F129" s="8" t="s">
        <v>57</v>
      </c>
      <c r="G129" s="8" t="s">
        <v>58</v>
      </c>
      <c r="H129" s="8" t="s">
        <v>59</v>
      </c>
      <c r="I129" s="8" t="s">
        <v>60</v>
      </c>
      <c r="J129" s="8" t="s">
        <v>61</v>
      </c>
      <c r="K129" s="8" t="s">
        <v>33</v>
      </c>
      <c r="L129" s="8" t="s">
        <v>34</v>
      </c>
      <c r="M129" s="8" t="s">
        <v>30</v>
      </c>
      <c r="N129" s="26">
        <v>41471</v>
      </c>
      <c r="O129" s="14">
        <v>56.065388244966897</v>
      </c>
      <c r="P129" s="8">
        <v>26.582493225904901</v>
      </c>
      <c r="Q129" s="19">
        <f t="shared" si="10"/>
        <v>1490.3578032295609</v>
      </c>
      <c r="R129" s="20">
        <v>4.9425631773075601E-2</v>
      </c>
      <c r="S129" s="29">
        <f t="shared" si="7"/>
        <v>73.661875992554144</v>
      </c>
      <c r="T129" s="20">
        <f t="shared" si="8"/>
        <v>1416.6959272370068</v>
      </c>
      <c r="U129" s="21">
        <v>7.2336147322091202</v>
      </c>
      <c r="V129" s="31">
        <f t="shared" si="9"/>
        <v>1423.929541969216</v>
      </c>
    </row>
    <row r="130" spans="1:22" x14ac:dyDescent="0.3">
      <c r="A130" s="6" t="s">
        <v>1082</v>
      </c>
      <c r="B130" s="6">
        <f t="shared" si="6"/>
        <v>3</v>
      </c>
      <c r="C130" s="7">
        <v>41470</v>
      </c>
      <c r="D130" s="8" t="s">
        <v>56</v>
      </c>
      <c r="E130" s="8">
        <v>218234.31579175801</v>
      </c>
      <c r="F130" s="8" t="s">
        <v>57</v>
      </c>
      <c r="G130" s="8" t="s">
        <v>58</v>
      </c>
      <c r="H130" s="8" t="s">
        <v>59</v>
      </c>
      <c r="I130" s="8" t="s">
        <v>60</v>
      </c>
      <c r="J130" s="8" t="s">
        <v>61</v>
      </c>
      <c r="K130" s="8" t="s">
        <v>33</v>
      </c>
      <c r="L130" s="8" t="s">
        <v>34</v>
      </c>
      <c r="M130" s="8" t="s">
        <v>30</v>
      </c>
      <c r="N130" s="26">
        <v>41471</v>
      </c>
      <c r="O130" s="14">
        <v>56.065388244966897</v>
      </c>
      <c r="P130" s="8">
        <v>26.582493225904901</v>
      </c>
      <c r="Q130" s="19">
        <f t="shared" si="10"/>
        <v>1490.3578032295609</v>
      </c>
      <c r="R130" s="20">
        <v>4.9425631773075601E-2</v>
      </c>
      <c r="S130" s="29">
        <f t="shared" si="7"/>
        <v>73.661875992554144</v>
      </c>
      <c r="T130" s="20">
        <f t="shared" si="8"/>
        <v>1416.6959272370068</v>
      </c>
      <c r="U130" s="21">
        <v>7.2336147322091202</v>
      </c>
      <c r="V130" s="31">
        <f t="shared" si="9"/>
        <v>1423.929541969216</v>
      </c>
    </row>
    <row r="131" spans="1:22" x14ac:dyDescent="0.3">
      <c r="A131" s="6" t="s">
        <v>1082</v>
      </c>
      <c r="B131" s="6">
        <f t="shared" ref="B131:B194" si="11">INT((MONTH(C131) +2)/3)</f>
        <v>3</v>
      </c>
      <c r="C131" s="7">
        <v>41470</v>
      </c>
      <c r="D131" s="8" t="s">
        <v>56</v>
      </c>
      <c r="E131" s="8">
        <v>218234.31579175801</v>
      </c>
      <c r="F131" s="8" t="s">
        <v>57</v>
      </c>
      <c r="G131" s="8" t="s">
        <v>58</v>
      </c>
      <c r="H131" s="8" t="s">
        <v>59</v>
      </c>
      <c r="I131" s="8" t="s">
        <v>60</v>
      </c>
      <c r="J131" s="8" t="s">
        <v>61</v>
      </c>
      <c r="K131" s="8" t="s">
        <v>33</v>
      </c>
      <c r="L131" s="8" t="s">
        <v>34</v>
      </c>
      <c r="M131" s="8" t="s">
        <v>30</v>
      </c>
      <c r="N131" s="26">
        <v>41471</v>
      </c>
      <c r="O131" s="14">
        <v>56.065388244966897</v>
      </c>
      <c r="P131" s="8">
        <v>26.582493225904901</v>
      </c>
      <c r="Q131" s="19">
        <f t="shared" si="10"/>
        <v>1490.3578032295609</v>
      </c>
      <c r="R131" s="20">
        <v>4.9425631773075601E-2</v>
      </c>
      <c r="S131" s="29">
        <f t="shared" ref="S131:S194" si="12">PRODUCT(Q131,R131)</f>
        <v>73.661875992554144</v>
      </c>
      <c r="T131" s="20">
        <f t="shared" ref="T131:T194" si="13">SUM(Q131,-S131)</f>
        <v>1416.6959272370068</v>
      </c>
      <c r="U131" s="21">
        <v>7.2336147322091202</v>
      </c>
      <c r="V131" s="31">
        <f t="shared" ref="V131:V194" si="14">SUM(T131,U131)</f>
        <v>1423.929541969216</v>
      </c>
    </row>
    <row r="132" spans="1:22" x14ac:dyDescent="0.3">
      <c r="A132" s="6" t="s">
        <v>1083</v>
      </c>
      <c r="B132" s="6">
        <f t="shared" si="11"/>
        <v>3</v>
      </c>
      <c r="C132" s="7">
        <v>41470</v>
      </c>
      <c r="D132" s="8" t="s">
        <v>56</v>
      </c>
      <c r="E132" s="8">
        <v>218622.24849436499</v>
      </c>
      <c r="F132" s="8" t="s">
        <v>57</v>
      </c>
      <c r="G132" s="8" t="s">
        <v>58</v>
      </c>
      <c r="H132" s="8" t="s">
        <v>59</v>
      </c>
      <c r="I132" s="8" t="s">
        <v>60</v>
      </c>
      <c r="J132" s="8" t="s">
        <v>63</v>
      </c>
      <c r="K132" s="8" t="s">
        <v>33</v>
      </c>
      <c r="L132" s="8" t="s">
        <v>34</v>
      </c>
      <c r="M132" s="8" t="s">
        <v>30</v>
      </c>
      <c r="N132" s="26">
        <v>41472</v>
      </c>
      <c r="O132" s="14">
        <v>56.110773064142201</v>
      </c>
      <c r="P132" s="8">
        <v>26.585554578570498</v>
      </c>
      <c r="Q132" s="19">
        <f t="shared" si="10"/>
        <v>1491.736019742536</v>
      </c>
      <c r="R132" s="20">
        <v>4.94093821013806E-2</v>
      </c>
      <c r="S132" s="29">
        <f t="shared" si="12"/>
        <v>73.705754993851599</v>
      </c>
      <c r="T132" s="20">
        <f t="shared" si="13"/>
        <v>1418.0302647486844</v>
      </c>
      <c r="U132" s="21">
        <v>7.2388756551826496</v>
      </c>
      <c r="V132" s="31">
        <f t="shared" si="14"/>
        <v>1425.2691404038671</v>
      </c>
    </row>
    <row r="133" spans="1:22" x14ac:dyDescent="0.3">
      <c r="A133" s="6" t="s">
        <v>1083</v>
      </c>
      <c r="B133" s="6">
        <f t="shared" si="11"/>
        <v>3</v>
      </c>
      <c r="C133" s="7">
        <v>41470</v>
      </c>
      <c r="D133" s="8" t="s">
        <v>56</v>
      </c>
      <c r="E133" s="8">
        <v>218622.24849436499</v>
      </c>
      <c r="F133" s="8" t="s">
        <v>57</v>
      </c>
      <c r="G133" s="8" t="s">
        <v>58</v>
      </c>
      <c r="H133" s="8" t="s">
        <v>59</v>
      </c>
      <c r="I133" s="8" t="s">
        <v>60</v>
      </c>
      <c r="J133" s="8" t="s">
        <v>63</v>
      </c>
      <c r="K133" s="8" t="s">
        <v>33</v>
      </c>
      <c r="L133" s="8" t="s">
        <v>34</v>
      </c>
      <c r="M133" s="8" t="s">
        <v>30</v>
      </c>
      <c r="N133" s="26">
        <v>41472</v>
      </c>
      <c r="O133" s="14">
        <v>56.110773064142201</v>
      </c>
      <c r="P133" s="8">
        <v>26.585554578570498</v>
      </c>
      <c r="Q133" s="19">
        <f t="shared" si="10"/>
        <v>1491.736019742536</v>
      </c>
      <c r="R133" s="20">
        <v>4.94093821013806E-2</v>
      </c>
      <c r="S133" s="29">
        <f t="shared" si="12"/>
        <v>73.705754993851599</v>
      </c>
      <c r="T133" s="20">
        <f t="shared" si="13"/>
        <v>1418.0302647486844</v>
      </c>
      <c r="U133" s="21">
        <v>7.2388756551826496</v>
      </c>
      <c r="V133" s="31">
        <f t="shared" si="14"/>
        <v>1425.2691404038671</v>
      </c>
    </row>
    <row r="134" spans="1:22" x14ac:dyDescent="0.3">
      <c r="A134" s="6" t="s">
        <v>1083</v>
      </c>
      <c r="B134" s="6">
        <f t="shared" si="11"/>
        <v>3</v>
      </c>
      <c r="C134" s="7">
        <v>41470</v>
      </c>
      <c r="D134" s="8" t="s">
        <v>56</v>
      </c>
      <c r="E134" s="8">
        <v>218622.24849436499</v>
      </c>
      <c r="F134" s="8" t="s">
        <v>57</v>
      </c>
      <c r="G134" s="8" t="s">
        <v>58</v>
      </c>
      <c r="H134" s="8" t="s">
        <v>59</v>
      </c>
      <c r="I134" s="8" t="s">
        <v>60</v>
      </c>
      <c r="J134" s="8" t="s">
        <v>63</v>
      </c>
      <c r="K134" s="8" t="s">
        <v>33</v>
      </c>
      <c r="L134" s="8" t="s">
        <v>34</v>
      </c>
      <c r="M134" s="8" t="s">
        <v>30</v>
      </c>
      <c r="N134" s="26">
        <v>41472</v>
      </c>
      <c r="O134" s="14">
        <v>56.110773064142201</v>
      </c>
      <c r="P134" s="8">
        <v>26.585554578570498</v>
      </c>
      <c r="Q134" s="19">
        <f t="shared" si="10"/>
        <v>1491.736019742536</v>
      </c>
      <c r="R134" s="20">
        <v>4.94093821013806E-2</v>
      </c>
      <c r="S134" s="29">
        <f t="shared" si="12"/>
        <v>73.705754993851599</v>
      </c>
      <c r="T134" s="20">
        <f t="shared" si="13"/>
        <v>1418.0302647486844</v>
      </c>
      <c r="U134" s="21">
        <v>7.2388756551826496</v>
      </c>
      <c r="V134" s="31">
        <f t="shared" si="14"/>
        <v>1425.2691404038671</v>
      </c>
    </row>
    <row r="135" spans="1:22" x14ac:dyDescent="0.3">
      <c r="A135" s="6" t="s">
        <v>579</v>
      </c>
      <c r="B135" s="6">
        <f t="shared" si="11"/>
        <v>3</v>
      </c>
      <c r="C135" s="7">
        <v>41471</v>
      </c>
      <c r="D135" s="8" t="s">
        <v>580</v>
      </c>
      <c r="E135" s="8">
        <v>2324</v>
      </c>
      <c r="F135" s="8" t="s">
        <v>581</v>
      </c>
      <c r="G135" s="8" t="s">
        <v>85</v>
      </c>
      <c r="H135" s="8" t="s">
        <v>118</v>
      </c>
      <c r="I135" s="8" t="s">
        <v>60</v>
      </c>
      <c r="J135" s="8" t="s">
        <v>181</v>
      </c>
      <c r="K135" s="8" t="s">
        <v>33</v>
      </c>
      <c r="L135" s="8" t="s">
        <v>34</v>
      </c>
      <c r="M135" s="8" t="s">
        <v>30</v>
      </c>
      <c r="N135" s="26">
        <v>41472</v>
      </c>
      <c r="O135" s="14">
        <v>1.26</v>
      </c>
      <c r="P135" s="8">
        <v>10</v>
      </c>
      <c r="Q135" s="19">
        <f t="shared" si="10"/>
        <v>12.6</v>
      </c>
      <c r="R135" s="20">
        <v>0.1</v>
      </c>
      <c r="S135" s="29">
        <f t="shared" si="12"/>
        <v>1.26</v>
      </c>
      <c r="T135" s="20">
        <f t="shared" si="13"/>
        <v>11.34</v>
      </c>
      <c r="U135" s="21">
        <v>0.7</v>
      </c>
      <c r="V135" s="31">
        <f t="shared" si="14"/>
        <v>12.04</v>
      </c>
    </row>
    <row r="136" spans="1:22" x14ac:dyDescent="0.3">
      <c r="A136" s="6" t="s">
        <v>582</v>
      </c>
      <c r="B136" s="6">
        <f t="shared" si="11"/>
        <v>3</v>
      </c>
      <c r="C136" s="7">
        <v>41471</v>
      </c>
      <c r="D136" s="8" t="s">
        <v>392</v>
      </c>
      <c r="E136" s="8">
        <v>173174</v>
      </c>
      <c r="F136" s="8" t="s">
        <v>393</v>
      </c>
      <c r="G136" s="8" t="s">
        <v>24</v>
      </c>
      <c r="H136" s="8" t="s">
        <v>48</v>
      </c>
      <c r="I136" s="8" t="s">
        <v>136</v>
      </c>
      <c r="J136" s="8" t="s">
        <v>532</v>
      </c>
      <c r="K136" s="8" t="s">
        <v>33</v>
      </c>
      <c r="L136" s="8" t="s">
        <v>34</v>
      </c>
      <c r="M136" s="8" t="s">
        <v>30</v>
      </c>
      <c r="N136" s="26">
        <v>41471</v>
      </c>
      <c r="O136" s="14">
        <v>4.76</v>
      </c>
      <c r="P136" s="8">
        <v>13</v>
      </c>
      <c r="Q136" s="19">
        <f t="shared" si="10"/>
        <v>61.879999999999995</v>
      </c>
      <c r="R136" s="20">
        <v>7.0000000000000007E-2</v>
      </c>
      <c r="S136" s="29">
        <f t="shared" si="12"/>
        <v>4.3315999999999999</v>
      </c>
      <c r="T136" s="20">
        <f t="shared" si="13"/>
        <v>57.548399999999994</v>
      </c>
      <c r="U136" s="21">
        <v>0.88</v>
      </c>
      <c r="V136" s="31">
        <f t="shared" si="14"/>
        <v>58.428399999999996</v>
      </c>
    </row>
    <row r="137" spans="1:22" x14ac:dyDescent="0.3">
      <c r="A137" s="6" t="s">
        <v>583</v>
      </c>
      <c r="B137" s="6">
        <f t="shared" si="11"/>
        <v>3</v>
      </c>
      <c r="C137" s="7">
        <v>41472</v>
      </c>
      <c r="D137" s="8" t="s">
        <v>584</v>
      </c>
      <c r="E137" s="8">
        <v>233234</v>
      </c>
      <c r="F137" s="8" t="s">
        <v>428</v>
      </c>
      <c r="G137" s="8" t="s">
        <v>58</v>
      </c>
      <c r="H137" s="8" t="s">
        <v>74</v>
      </c>
      <c r="I137" s="8" t="s">
        <v>40</v>
      </c>
      <c r="J137" s="8" t="s">
        <v>283</v>
      </c>
      <c r="K137" s="8" t="s">
        <v>28</v>
      </c>
      <c r="L137" s="8" t="s">
        <v>54</v>
      </c>
      <c r="M137" s="8" t="s">
        <v>42</v>
      </c>
      <c r="N137" s="26">
        <v>41472</v>
      </c>
      <c r="O137" s="14">
        <v>100.97</v>
      </c>
      <c r="P137" s="8">
        <v>35</v>
      </c>
      <c r="Q137" s="19">
        <f t="shared" si="10"/>
        <v>3533.95</v>
      </c>
      <c r="R137" s="20">
        <v>0.05</v>
      </c>
      <c r="S137" s="29">
        <f t="shared" si="12"/>
        <v>176.69749999999999</v>
      </c>
      <c r="T137" s="20">
        <f t="shared" si="13"/>
        <v>3357.2524999999996</v>
      </c>
      <c r="U137" s="21">
        <v>7.18</v>
      </c>
      <c r="V137" s="31">
        <f t="shared" si="14"/>
        <v>3364.4324999999994</v>
      </c>
    </row>
    <row r="138" spans="1:22" x14ac:dyDescent="0.3">
      <c r="A138" s="6" t="s">
        <v>585</v>
      </c>
      <c r="B138" s="6">
        <f t="shared" si="11"/>
        <v>3</v>
      </c>
      <c r="C138" s="7">
        <v>41473</v>
      </c>
      <c r="D138" s="8" t="s">
        <v>586</v>
      </c>
      <c r="E138" s="8">
        <v>235236</v>
      </c>
      <c r="F138" s="8" t="s">
        <v>155</v>
      </c>
      <c r="G138" s="8" t="s">
        <v>85</v>
      </c>
      <c r="H138" s="8" t="s">
        <v>74</v>
      </c>
      <c r="I138" s="8" t="s">
        <v>60</v>
      </c>
      <c r="J138" s="8" t="s">
        <v>347</v>
      </c>
      <c r="K138" s="8" t="s">
        <v>33</v>
      </c>
      <c r="L138" s="8" t="s">
        <v>29</v>
      </c>
      <c r="M138" s="8" t="s">
        <v>42</v>
      </c>
      <c r="N138" s="26">
        <v>41475</v>
      </c>
      <c r="O138" s="14">
        <v>8.34</v>
      </c>
      <c r="P138" s="8">
        <v>15</v>
      </c>
      <c r="Q138" s="19">
        <f t="shared" si="10"/>
        <v>125.1</v>
      </c>
      <c r="R138" s="20">
        <v>0</v>
      </c>
      <c r="S138" s="29">
        <f t="shared" si="12"/>
        <v>0</v>
      </c>
      <c r="T138" s="20">
        <f t="shared" si="13"/>
        <v>125.1</v>
      </c>
      <c r="U138" s="21">
        <v>2.64</v>
      </c>
      <c r="V138" s="31">
        <f t="shared" si="14"/>
        <v>127.74</v>
      </c>
    </row>
    <row r="139" spans="1:22" x14ac:dyDescent="0.3">
      <c r="A139" s="6" t="s">
        <v>587</v>
      </c>
      <c r="B139" s="6">
        <f t="shared" si="11"/>
        <v>3</v>
      </c>
      <c r="C139" s="7">
        <v>41475</v>
      </c>
      <c r="D139" s="8" t="s">
        <v>541</v>
      </c>
      <c r="E139" s="8">
        <v>22</v>
      </c>
      <c r="F139" s="8" t="s">
        <v>542</v>
      </c>
      <c r="G139" s="8" t="s">
        <v>38</v>
      </c>
      <c r="H139" s="8" t="s">
        <v>48</v>
      </c>
      <c r="I139" s="8" t="s">
        <v>60</v>
      </c>
      <c r="J139" s="8" t="s">
        <v>86</v>
      </c>
      <c r="K139" s="8" t="s">
        <v>33</v>
      </c>
      <c r="L139" s="8" t="s">
        <v>54</v>
      </c>
      <c r="M139" s="8" t="s">
        <v>42</v>
      </c>
      <c r="N139" s="26">
        <v>41477</v>
      </c>
      <c r="O139" s="14">
        <v>8.6</v>
      </c>
      <c r="P139" s="8">
        <v>23</v>
      </c>
      <c r="Q139" s="19">
        <f t="shared" si="10"/>
        <v>197.79999999999998</v>
      </c>
      <c r="R139" s="20">
        <v>0.02</v>
      </c>
      <c r="S139" s="29">
        <f t="shared" si="12"/>
        <v>3.956</v>
      </c>
      <c r="T139" s="20">
        <f t="shared" si="13"/>
        <v>193.84399999999999</v>
      </c>
      <c r="U139" s="21">
        <v>6.19</v>
      </c>
      <c r="V139" s="31">
        <f t="shared" si="14"/>
        <v>200.03399999999999</v>
      </c>
    </row>
    <row r="140" spans="1:22" x14ac:dyDescent="0.3">
      <c r="A140" s="6" t="s">
        <v>588</v>
      </c>
      <c r="B140" s="6">
        <f t="shared" si="11"/>
        <v>3</v>
      </c>
      <c r="C140" s="7">
        <v>41476</v>
      </c>
      <c r="D140" s="8" t="s">
        <v>589</v>
      </c>
      <c r="E140" s="8">
        <v>237238</v>
      </c>
      <c r="F140" s="8" t="s">
        <v>229</v>
      </c>
      <c r="G140" s="8" t="s">
        <v>24</v>
      </c>
      <c r="H140" s="8" t="s">
        <v>346</v>
      </c>
      <c r="I140" s="8" t="s">
        <v>136</v>
      </c>
      <c r="J140" s="8" t="s">
        <v>137</v>
      </c>
      <c r="K140" s="8" t="s">
        <v>28</v>
      </c>
      <c r="L140" s="8" t="s">
        <v>138</v>
      </c>
      <c r="M140" s="8" t="s">
        <v>139</v>
      </c>
      <c r="N140" s="26">
        <v>41478</v>
      </c>
      <c r="O140" s="14">
        <v>449.99</v>
      </c>
      <c r="P140" s="8">
        <v>12</v>
      </c>
      <c r="Q140" s="19">
        <f t="shared" si="10"/>
        <v>5399.88</v>
      </c>
      <c r="R140" s="20">
        <v>0.06</v>
      </c>
      <c r="S140" s="29">
        <f t="shared" si="12"/>
        <v>323.99279999999999</v>
      </c>
      <c r="T140" s="20">
        <f t="shared" si="13"/>
        <v>5075.8872000000001</v>
      </c>
      <c r="U140" s="21">
        <v>49</v>
      </c>
      <c r="V140" s="31">
        <f t="shared" si="14"/>
        <v>5124.8872000000001</v>
      </c>
    </row>
    <row r="141" spans="1:22" x14ac:dyDescent="0.3">
      <c r="A141" s="6" t="s">
        <v>590</v>
      </c>
      <c r="B141" s="6">
        <f t="shared" si="11"/>
        <v>3</v>
      </c>
      <c r="C141" s="7">
        <v>41477</v>
      </c>
      <c r="D141" s="8" t="s">
        <v>591</v>
      </c>
      <c r="E141" s="8">
        <v>239240</v>
      </c>
      <c r="F141" s="8" t="s">
        <v>209</v>
      </c>
      <c r="G141" s="8" t="s">
        <v>24</v>
      </c>
      <c r="H141" s="8" t="s">
        <v>288</v>
      </c>
      <c r="I141" s="8" t="s">
        <v>136</v>
      </c>
      <c r="J141" s="8" t="s">
        <v>552</v>
      </c>
      <c r="K141" s="8" t="s">
        <v>33</v>
      </c>
      <c r="L141" s="8" t="s">
        <v>54</v>
      </c>
      <c r="M141" s="8" t="s">
        <v>42</v>
      </c>
      <c r="N141" s="26">
        <v>41478</v>
      </c>
      <c r="O141" s="14">
        <v>2.08</v>
      </c>
      <c r="P141" s="8">
        <v>11</v>
      </c>
      <c r="Q141" s="19">
        <f t="shared" si="10"/>
        <v>22.880000000000003</v>
      </c>
      <c r="R141" s="20">
        <v>0.01</v>
      </c>
      <c r="S141" s="29">
        <f t="shared" si="12"/>
        <v>0.22880000000000003</v>
      </c>
      <c r="T141" s="20">
        <f t="shared" si="13"/>
        <v>22.651200000000003</v>
      </c>
      <c r="U141" s="21">
        <v>1.49</v>
      </c>
      <c r="V141" s="31">
        <f t="shared" si="14"/>
        <v>24.141200000000001</v>
      </c>
    </row>
    <row r="142" spans="1:22" x14ac:dyDescent="0.3">
      <c r="A142" s="6" t="s">
        <v>592</v>
      </c>
      <c r="B142" s="6">
        <f t="shared" si="11"/>
        <v>3</v>
      </c>
      <c r="C142" s="7">
        <v>41477</v>
      </c>
      <c r="D142" s="8" t="s">
        <v>369</v>
      </c>
      <c r="E142" s="8">
        <v>169170</v>
      </c>
      <c r="F142" s="8" t="s">
        <v>370</v>
      </c>
      <c r="G142" s="8" t="s">
        <v>24</v>
      </c>
      <c r="H142" s="8" t="s">
        <v>118</v>
      </c>
      <c r="I142" s="8" t="s">
        <v>40</v>
      </c>
      <c r="J142" s="8" t="s">
        <v>593</v>
      </c>
      <c r="K142" s="8" t="s">
        <v>28</v>
      </c>
      <c r="L142" s="8" t="s">
        <v>54</v>
      </c>
      <c r="M142" s="8" t="s">
        <v>30</v>
      </c>
      <c r="N142" s="26">
        <v>41481</v>
      </c>
      <c r="O142" s="14">
        <v>30.98</v>
      </c>
      <c r="P142" s="8">
        <v>29</v>
      </c>
      <c r="Q142" s="19">
        <f t="shared" si="10"/>
        <v>898.42</v>
      </c>
      <c r="R142" s="20">
        <v>0.03</v>
      </c>
      <c r="S142" s="29">
        <f t="shared" si="12"/>
        <v>26.952599999999997</v>
      </c>
      <c r="T142" s="20">
        <f t="shared" si="13"/>
        <v>871.4674</v>
      </c>
      <c r="U142" s="21">
        <v>6.5</v>
      </c>
      <c r="V142" s="31">
        <f t="shared" si="14"/>
        <v>877.9674</v>
      </c>
    </row>
    <row r="143" spans="1:22" x14ac:dyDescent="0.3">
      <c r="A143" s="6" t="s">
        <v>594</v>
      </c>
      <c r="B143" s="6">
        <f t="shared" si="11"/>
        <v>3</v>
      </c>
      <c r="C143" s="7">
        <v>41478</v>
      </c>
      <c r="D143" s="8" t="s">
        <v>341</v>
      </c>
      <c r="E143" s="8">
        <v>16</v>
      </c>
      <c r="F143" s="8" t="s">
        <v>342</v>
      </c>
      <c r="G143" s="8" t="s">
        <v>24</v>
      </c>
      <c r="H143" s="8" t="s">
        <v>74</v>
      </c>
      <c r="I143" s="8" t="s">
        <v>49</v>
      </c>
      <c r="J143" s="8" t="s">
        <v>44</v>
      </c>
      <c r="K143" s="8" t="s">
        <v>33</v>
      </c>
      <c r="L143" s="8" t="s">
        <v>34</v>
      </c>
      <c r="M143" s="8" t="s">
        <v>30</v>
      </c>
      <c r="N143" s="26">
        <v>41480</v>
      </c>
      <c r="O143" s="14">
        <v>5.84</v>
      </c>
      <c r="P143" s="8">
        <v>11</v>
      </c>
      <c r="Q143" s="19">
        <f t="shared" si="10"/>
        <v>64.239999999999995</v>
      </c>
      <c r="R143" s="20">
        <v>0.01</v>
      </c>
      <c r="S143" s="29">
        <f t="shared" si="12"/>
        <v>0.64239999999999997</v>
      </c>
      <c r="T143" s="20">
        <f t="shared" si="13"/>
        <v>63.597599999999993</v>
      </c>
      <c r="U143" s="21">
        <v>0.83</v>
      </c>
      <c r="V143" s="31">
        <f t="shared" si="14"/>
        <v>64.427599999999998</v>
      </c>
    </row>
    <row r="144" spans="1:22" x14ac:dyDescent="0.3">
      <c r="A144" s="6" t="s">
        <v>595</v>
      </c>
      <c r="B144" s="6">
        <f t="shared" si="11"/>
        <v>3</v>
      </c>
      <c r="C144" s="7">
        <v>41479</v>
      </c>
      <c r="D144" s="8" t="s">
        <v>596</v>
      </c>
      <c r="E144" s="8">
        <v>24</v>
      </c>
      <c r="F144" s="8" t="s">
        <v>169</v>
      </c>
      <c r="G144" s="8" t="s">
        <v>85</v>
      </c>
      <c r="H144" s="8" t="s">
        <v>25</v>
      </c>
      <c r="I144" s="8" t="s">
        <v>60</v>
      </c>
      <c r="J144" s="8" t="s">
        <v>189</v>
      </c>
      <c r="K144" s="8" t="s">
        <v>33</v>
      </c>
      <c r="L144" s="8" t="s">
        <v>54</v>
      </c>
      <c r="M144" s="8" t="s">
        <v>30</v>
      </c>
      <c r="N144" s="26">
        <v>41481</v>
      </c>
      <c r="O144" s="14">
        <v>5.98</v>
      </c>
      <c r="P144" s="8">
        <v>14</v>
      </c>
      <c r="Q144" s="19">
        <f t="shared" si="10"/>
        <v>83.72</v>
      </c>
      <c r="R144" s="20">
        <v>0.09</v>
      </c>
      <c r="S144" s="29">
        <f t="shared" si="12"/>
        <v>7.5347999999999997</v>
      </c>
      <c r="T144" s="20">
        <f t="shared" si="13"/>
        <v>76.185199999999995</v>
      </c>
      <c r="U144" s="21">
        <v>1.49</v>
      </c>
      <c r="V144" s="31">
        <f t="shared" si="14"/>
        <v>77.67519999999999</v>
      </c>
    </row>
    <row r="145" spans="1:22" x14ac:dyDescent="0.3">
      <c r="A145" s="6" t="s">
        <v>597</v>
      </c>
      <c r="B145" s="6">
        <f t="shared" si="11"/>
        <v>3</v>
      </c>
      <c r="C145" s="7">
        <v>41481</v>
      </c>
      <c r="D145" s="8" t="s">
        <v>598</v>
      </c>
      <c r="E145" s="8">
        <v>24</v>
      </c>
      <c r="F145" s="8" t="s">
        <v>599</v>
      </c>
      <c r="G145" s="8" t="s">
        <v>58</v>
      </c>
      <c r="H145" s="8" t="s">
        <v>39</v>
      </c>
      <c r="I145" s="8" t="s">
        <v>40</v>
      </c>
      <c r="J145" s="8" t="s">
        <v>249</v>
      </c>
      <c r="K145" s="8" t="s">
        <v>33</v>
      </c>
      <c r="L145" s="8" t="s">
        <v>54</v>
      </c>
      <c r="M145" s="8" t="s">
        <v>30</v>
      </c>
      <c r="N145" s="26">
        <v>41486</v>
      </c>
      <c r="O145" s="14">
        <v>10.89</v>
      </c>
      <c r="P145" s="8">
        <v>37</v>
      </c>
      <c r="Q145" s="19">
        <f t="shared" si="10"/>
        <v>402.93</v>
      </c>
      <c r="R145" s="20">
        <v>0.06</v>
      </c>
      <c r="S145" s="29">
        <f t="shared" si="12"/>
        <v>24.175799999999999</v>
      </c>
      <c r="T145" s="20">
        <f t="shared" si="13"/>
        <v>378.75420000000003</v>
      </c>
      <c r="U145" s="21">
        <v>4.5</v>
      </c>
      <c r="V145" s="31">
        <f t="shared" si="14"/>
        <v>383.25420000000003</v>
      </c>
    </row>
    <row r="146" spans="1:22" x14ac:dyDescent="0.3">
      <c r="A146" s="6" t="s">
        <v>600</v>
      </c>
      <c r="B146" s="6">
        <f t="shared" si="11"/>
        <v>3</v>
      </c>
      <c r="C146" s="7">
        <v>41481</v>
      </c>
      <c r="D146" s="8" t="s">
        <v>601</v>
      </c>
      <c r="E146" s="8">
        <v>24</v>
      </c>
      <c r="F146" s="8" t="s">
        <v>602</v>
      </c>
      <c r="G146" s="8" t="s">
        <v>24</v>
      </c>
      <c r="H146" s="8" t="s">
        <v>48</v>
      </c>
      <c r="I146" s="8" t="s">
        <v>40</v>
      </c>
      <c r="J146" s="8" t="s">
        <v>593</v>
      </c>
      <c r="K146" s="8" t="s">
        <v>28</v>
      </c>
      <c r="L146" s="8" t="s">
        <v>54</v>
      </c>
      <c r="M146" s="8" t="s">
        <v>30</v>
      </c>
      <c r="N146" s="26">
        <v>41483</v>
      </c>
      <c r="O146" s="14">
        <v>30.98</v>
      </c>
      <c r="P146" s="8">
        <v>8</v>
      </c>
      <c r="Q146" s="19">
        <f t="shared" si="10"/>
        <v>247.84</v>
      </c>
      <c r="R146" s="20">
        <v>0.01</v>
      </c>
      <c r="S146" s="29">
        <f t="shared" si="12"/>
        <v>2.4784000000000002</v>
      </c>
      <c r="T146" s="20">
        <f t="shared" si="13"/>
        <v>245.36160000000001</v>
      </c>
      <c r="U146" s="21">
        <v>6.5</v>
      </c>
      <c r="V146" s="31">
        <f t="shared" si="14"/>
        <v>251.86160000000001</v>
      </c>
    </row>
    <row r="147" spans="1:22" x14ac:dyDescent="0.3">
      <c r="A147" s="6" t="s">
        <v>603</v>
      </c>
      <c r="B147" s="6">
        <f t="shared" si="11"/>
        <v>3</v>
      </c>
      <c r="C147" s="7">
        <v>41482</v>
      </c>
      <c r="D147" s="8" t="s">
        <v>604</v>
      </c>
      <c r="E147" s="8">
        <v>241242</v>
      </c>
      <c r="F147" s="8" t="s">
        <v>149</v>
      </c>
      <c r="G147" s="8" t="s">
        <v>38</v>
      </c>
      <c r="H147" s="8" t="s">
        <v>74</v>
      </c>
      <c r="I147" s="8" t="s">
        <v>40</v>
      </c>
      <c r="J147" s="8" t="s">
        <v>261</v>
      </c>
      <c r="K147" s="8" t="s">
        <v>28</v>
      </c>
      <c r="L147" s="8" t="s">
        <v>54</v>
      </c>
      <c r="M147" s="8" t="s">
        <v>30</v>
      </c>
      <c r="N147" s="26">
        <v>41484</v>
      </c>
      <c r="O147" s="14">
        <v>152.47999999999999</v>
      </c>
      <c r="P147" s="8">
        <v>31</v>
      </c>
      <c r="Q147" s="19">
        <f t="shared" si="10"/>
        <v>4726.88</v>
      </c>
      <c r="R147" s="20">
        <v>7.0000000000000007E-2</v>
      </c>
      <c r="S147" s="29">
        <f t="shared" si="12"/>
        <v>330.88160000000005</v>
      </c>
      <c r="T147" s="20">
        <f t="shared" si="13"/>
        <v>4395.9984000000004</v>
      </c>
      <c r="U147" s="21">
        <v>6.5</v>
      </c>
      <c r="V147" s="31">
        <f t="shared" si="14"/>
        <v>4402.4984000000004</v>
      </c>
    </row>
    <row r="148" spans="1:22" x14ac:dyDescent="0.3">
      <c r="A148" s="6" t="s">
        <v>605</v>
      </c>
      <c r="B148" s="6">
        <f t="shared" si="11"/>
        <v>3</v>
      </c>
      <c r="C148" s="7">
        <v>41483</v>
      </c>
      <c r="D148" s="8" t="s">
        <v>358</v>
      </c>
      <c r="E148" s="8">
        <v>163164</v>
      </c>
      <c r="F148" s="8" t="s">
        <v>359</v>
      </c>
      <c r="G148" s="8" t="s">
        <v>24</v>
      </c>
      <c r="H148" s="8" t="s">
        <v>25</v>
      </c>
      <c r="I148" s="8" t="s">
        <v>49</v>
      </c>
      <c r="J148" s="8" t="s">
        <v>606</v>
      </c>
      <c r="K148" s="8" t="s">
        <v>33</v>
      </c>
      <c r="L148" s="8" t="s">
        <v>34</v>
      </c>
      <c r="M148" s="8" t="s">
        <v>30</v>
      </c>
      <c r="N148" s="26">
        <v>41485</v>
      </c>
      <c r="O148" s="14">
        <v>3.98</v>
      </c>
      <c r="P148" s="8">
        <v>30</v>
      </c>
      <c r="Q148" s="19">
        <f t="shared" si="10"/>
        <v>119.4</v>
      </c>
      <c r="R148" s="20">
        <v>0.1</v>
      </c>
      <c r="S148" s="29">
        <f t="shared" si="12"/>
        <v>11.940000000000001</v>
      </c>
      <c r="T148" s="20">
        <f t="shared" si="13"/>
        <v>107.46000000000001</v>
      </c>
      <c r="U148" s="21">
        <v>0.83</v>
      </c>
      <c r="V148" s="31">
        <f t="shared" si="14"/>
        <v>108.29</v>
      </c>
    </row>
    <row r="149" spans="1:22" x14ac:dyDescent="0.3">
      <c r="A149" s="6" t="s">
        <v>607</v>
      </c>
      <c r="B149" s="6">
        <f t="shared" si="11"/>
        <v>3</v>
      </c>
      <c r="C149" s="7">
        <v>41484</v>
      </c>
      <c r="D149" s="8" t="s">
        <v>608</v>
      </c>
      <c r="E149" s="8">
        <v>243244</v>
      </c>
      <c r="F149" s="8" t="s">
        <v>609</v>
      </c>
      <c r="G149" s="8" t="s">
        <v>38</v>
      </c>
      <c r="H149" s="8" t="s">
        <v>48</v>
      </c>
      <c r="I149" s="8" t="s">
        <v>49</v>
      </c>
      <c r="J149" s="8" t="s">
        <v>610</v>
      </c>
      <c r="K149" s="8" t="s">
        <v>33</v>
      </c>
      <c r="L149" s="8" t="s">
        <v>54</v>
      </c>
      <c r="M149" s="8" t="s">
        <v>30</v>
      </c>
      <c r="N149" s="26">
        <v>41485</v>
      </c>
      <c r="O149" s="14">
        <v>3.08</v>
      </c>
      <c r="P149" s="8">
        <v>38</v>
      </c>
      <c r="Q149" s="19">
        <f t="shared" ref="Q149:Q212" si="15">PRODUCT(O149,P149)</f>
        <v>117.04</v>
      </c>
      <c r="R149" s="20">
        <v>0.04</v>
      </c>
      <c r="S149" s="29">
        <f t="shared" si="12"/>
        <v>4.6816000000000004</v>
      </c>
      <c r="T149" s="20">
        <f t="shared" si="13"/>
        <v>112.3584</v>
      </c>
      <c r="U149" s="21">
        <v>0.99</v>
      </c>
      <c r="V149" s="31">
        <f t="shared" si="14"/>
        <v>113.3484</v>
      </c>
    </row>
    <row r="150" spans="1:22" x14ac:dyDescent="0.3">
      <c r="A150" s="6" t="s">
        <v>611</v>
      </c>
      <c r="B150" s="6">
        <f t="shared" si="11"/>
        <v>3</v>
      </c>
      <c r="C150" s="7">
        <v>41485</v>
      </c>
      <c r="D150" s="8" t="s">
        <v>612</v>
      </c>
      <c r="E150" s="8">
        <v>245246</v>
      </c>
      <c r="F150" s="8" t="s">
        <v>613</v>
      </c>
      <c r="G150" s="8" t="s">
        <v>24</v>
      </c>
      <c r="H150" s="8" t="s">
        <v>288</v>
      </c>
      <c r="I150" s="8" t="s">
        <v>49</v>
      </c>
      <c r="J150" s="8" t="s">
        <v>614</v>
      </c>
      <c r="K150" s="8" t="s">
        <v>28</v>
      </c>
      <c r="L150" s="8" t="s">
        <v>138</v>
      </c>
      <c r="M150" s="8" t="s">
        <v>139</v>
      </c>
      <c r="N150" s="26">
        <v>41486</v>
      </c>
      <c r="O150" s="14">
        <v>119.99</v>
      </c>
      <c r="P150" s="8">
        <v>24</v>
      </c>
      <c r="Q150" s="19">
        <f t="shared" si="15"/>
        <v>2879.7599999999998</v>
      </c>
      <c r="R150" s="20">
        <v>0.02</v>
      </c>
      <c r="S150" s="29">
        <f t="shared" si="12"/>
        <v>57.595199999999998</v>
      </c>
      <c r="T150" s="20">
        <f t="shared" si="13"/>
        <v>2822.1647999999996</v>
      </c>
      <c r="U150" s="21">
        <v>14</v>
      </c>
      <c r="V150" s="31">
        <f t="shared" si="14"/>
        <v>2836.1647999999996</v>
      </c>
    </row>
    <row r="151" spans="1:22" x14ac:dyDescent="0.3">
      <c r="A151" s="6" t="s">
        <v>64</v>
      </c>
      <c r="B151" s="6">
        <f t="shared" si="11"/>
        <v>3</v>
      </c>
      <c r="C151" s="7">
        <v>41486</v>
      </c>
      <c r="D151" s="8" t="s">
        <v>65</v>
      </c>
      <c r="E151" s="8">
        <v>10</v>
      </c>
      <c r="F151" s="8" t="s">
        <v>66</v>
      </c>
      <c r="G151" s="8" t="s">
        <v>58</v>
      </c>
      <c r="H151" s="8" t="s">
        <v>67</v>
      </c>
      <c r="I151" s="8" t="s">
        <v>26</v>
      </c>
      <c r="J151" s="8" t="s">
        <v>68</v>
      </c>
      <c r="K151" s="8" t="s">
        <v>33</v>
      </c>
      <c r="L151" s="8" t="s">
        <v>54</v>
      </c>
      <c r="M151" s="8" t="s">
        <v>30</v>
      </c>
      <c r="N151" s="26">
        <v>41487</v>
      </c>
      <c r="O151" s="14">
        <v>2.88</v>
      </c>
      <c r="P151" s="8">
        <v>11</v>
      </c>
      <c r="Q151" s="19">
        <f t="shared" si="15"/>
        <v>31.68</v>
      </c>
      <c r="R151" s="20">
        <v>0.09</v>
      </c>
      <c r="S151" s="29">
        <f t="shared" si="12"/>
        <v>2.8512</v>
      </c>
      <c r="T151" s="20">
        <f t="shared" si="13"/>
        <v>28.828800000000001</v>
      </c>
      <c r="U151" s="21">
        <v>1.49</v>
      </c>
      <c r="V151" s="31">
        <f t="shared" si="14"/>
        <v>30.3188</v>
      </c>
    </row>
    <row r="152" spans="1:22" x14ac:dyDescent="0.3">
      <c r="A152" s="6" t="s">
        <v>69</v>
      </c>
      <c r="B152" s="6">
        <f t="shared" si="11"/>
        <v>3</v>
      </c>
      <c r="C152" s="7">
        <v>41486</v>
      </c>
      <c r="D152" s="8" t="s">
        <v>65</v>
      </c>
      <c r="E152" s="8">
        <v>10</v>
      </c>
      <c r="F152" s="8" t="s">
        <v>66</v>
      </c>
      <c r="G152" s="8" t="s">
        <v>58</v>
      </c>
      <c r="H152" s="8" t="s">
        <v>67</v>
      </c>
      <c r="I152" s="8" t="s">
        <v>26</v>
      </c>
      <c r="J152" s="8" t="s">
        <v>70</v>
      </c>
      <c r="K152" s="8" t="s">
        <v>28</v>
      </c>
      <c r="L152" s="8" t="s">
        <v>54</v>
      </c>
      <c r="M152" s="8" t="s">
        <v>30</v>
      </c>
      <c r="N152" s="26">
        <v>41488</v>
      </c>
      <c r="O152" s="14">
        <v>19.98</v>
      </c>
      <c r="P152" s="8">
        <v>43</v>
      </c>
      <c r="Q152" s="19">
        <f t="shared" si="15"/>
        <v>859.14</v>
      </c>
      <c r="R152" s="20">
        <v>0.1</v>
      </c>
      <c r="S152" s="29">
        <f t="shared" si="12"/>
        <v>85.914000000000001</v>
      </c>
      <c r="T152" s="20">
        <f t="shared" si="13"/>
        <v>773.226</v>
      </c>
      <c r="U152" s="21">
        <v>4</v>
      </c>
      <c r="V152" s="31">
        <f t="shared" si="14"/>
        <v>777.226</v>
      </c>
    </row>
    <row r="153" spans="1:22" x14ac:dyDescent="0.3">
      <c r="A153" s="6" t="s">
        <v>1084</v>
      </c>
      <c r="B153" s="6">
        <f t="shared" si="11"/>
        <v>3</v>
      </c>
      <c r="C153" s="7">
        <v>41486</v>
      </c>
      <c r="D153" s="8" t="s">
        <v>65</v>
      </c>
      <c r="E153" s="8">
        <v>219010.181196972</v>
      </c>
      <c r="F153" s="8" t="s">
        <v>66</v>
      </c>
      <c r="G153" s="8" t="s">
        <v>58</v>
      </c>
      <c r="H153" s="8" t="s">
        <v>67</v>
      </c>
      <c r="I153" s="8" t="s">
        <v>26</v>
      </c>
      <c r="J153" s="8" t="s">
        <v>68</v>
      </c>
      <c r="K153" s="8" t="s">
        <v>33</v>
      </c>
      <c r="L153" s="8" t="s">
        <v>54</v>
      </c>
      <c r="M153" s="8" t="s">
        <v>30</v>
      </c>
      <c r="N153" s="26">
        <v>41487</v>
      </c>
      <c r="O153" s="14">
        <v>56.156157883317498</v>
      </c>
      <c r="P153" s="8">
        <v>26.588615931236198</v>
      </c>
      <c r="Q153" s="19">
        <f t="shared" si="15"/>
        <v>1493.1145141333909</v>
      </c>
      <c r="R153" s="20">
        <v>4.9393132429685599E-2</v>
      </c>
      <c r="S153" s="29">
        <f t="shared" si="12"/>
        <v>73.74960292927625</v>
      </c>
      <c r="T153" s="20">
        <f t="shared" si="13"/>
        <v>1419.3649112041146</v>
      </c>
      <c r="U153" s="21">
        <v>7.2441365781561702</v>
      </c>
      <c r="V153" s="31">
        <f t="shared" si="14"/>
        <v>1426.6090477822709</v>
      </c>
    </row>
    <row r="154" spans="1:22" x14ac:dyDescent="0.3">
      <c r="A154" s="6" t="s">
        <v>1084</v>
      </c>
      <c r="B154" s="6">
        <f t="shared" si="11"/>
        <v>3</v>
      </c>
      <c r="C154" s="7">
        <v>41486</v>
      </c>
      <c r="D154" s="8" t="s">
        <v>65</v>
      </c>
      <c r="E154" s="8">
        <v>219010.181196972</v>
      </c>
      <c r="F154" s="8" t="s">
        <v>66</v>
      </c>
      <c r="G154" s="8" t="s">
        <v>58</v>
      </c>
      <c r="H154" s="8" t="s">
        <v>67</v>
      </c>
      <c r="I154" s="8" t="s">
        <v>26</v>
      </c>
      <c r="J154" s="8" t="s">
        <v>68</v>
      </c>
      <c r="K154" s="8" t="s">
        <v>33</v>
      </c>
      <c r="L154" s="8" t="s">
        <v>54</v>
      </c>
      <c r="M154" s="8" t="s">
        <v>30</v>
      </c>
      <c r="N154" s="26">
        <v>41487</v>
      </c>
      <c r="O154" s="14">
        <v>56.156157883317498</v>
      </c>
      <c r="P154" s="8">
        <v>26.588615931236198</v>
      </c>
      <c r="Q154" s="19">
        <f t="shared" si="15"/>
        <v>1493.1145141333909</v>
      </c>
      <c r="R154" s="20">
        <v>4.9393132429685599E-2</v>
      </c>
      <c r="S154" s="29">
        <f t="shared" si="12"/>
        <v>73.74960292927625</v>
      </c>
      <c r="T154" s="20">
        <f t="shared" si="13"/>
        <v>1419.3649112041146</v>
      </c>
      <c r="U154" s="21">
        <v>7.2441365781561702</v>
      </c>
      <c r="V154" s="31">
        <f t="shared" si="14"/>
        <v>1426.6090477822709</v>
      </c>
    </row>
    <row r="155" spans="1:22" x14ac:dyDescent="0.3">
      <c r="A155" s="6" t="s">
        <v>1084</v>
      </c>
      <c r="B155" s="6">
        <f t="shared" si="11"/>
        <v>3</v>
      </c>
      <c r="C155" s="7">
        <v>41486</v>
      </c>
      <c r="D155" s="8" t="s">
        <v>65</v>
      </c>
      <c r="E155" s="8">
        <v>219010.181196972</v>
      </c>
      <c r="F155" s="8" t="s">
        <v>66</v>
      </c>
      <c r="G155" s="8" t="s">
        <v>58</v>
      </c>
      <c r="H155" s="8" t="s">
        <v>67</v>
      </c>
      <c r="I155" s="8" t="s">
        <v>26</v>
      </c>
      <c r="J155" s="8" t="s">
        <v>68</v>
      </c>
      <c r="K155" s="8" t="s">
        <v>33</v>
      </c>
      <c r="L155" s="8" t="s">
        <v>54</v>
      </c>
      <c r="M155" s="8" t="s">
        <v>30</v>
      </c>
      <c r="N155" s="26">
        <v>41487</v>
      </c>
      <c r="O155" s="14">
        <v>56.156157883317498</v>
      </c>
      <c r="P155" s="8">
        <v>26.588615931236198</v>
      </c>
      <c r="Q155" s="19">
        <f t="shared" si="15"/>
        <v>1493.1145141333909</v>
      </c>
      <c r="R155" s="20">
        <v>4.9393132429685599E-2</v>
      </c>
      <c r="S155" s="29">
        <f t="shared" si="12"/>
        <v>73.74960292927625</v>
      </c>
      <c r="T155" s="20">
        <f t="shared" si="13"/>
        <v>1419.3649112041146</v>
      </c>
      <c r="U155" s="21">
        <v>7.2441365781561702</v>
      </c>
      <c r="V155" s="31">
        <f t="shared" si="14"/>
        <v>1426.6090477822709</v>
      </c>
    </row>
    <row r="156" spans="1:22" x14ac:dyDescent="0.3">
      <c r="A156" s="6" t="s">
        <v>1085</v>
      </c>
      <c r="B156" s="6">
        <f t="shared" si="11"/>
        <v>3</v>
      </c>
      <c r="C156" s="7">
        <v>41486</v>
      </c>
      <c r="D156" s="8" t="s">
        <v>65</v>
      </c>
      <c r="E156" s="8">
        <v>219398.11389957901</v>
      </c>
      <c r="F156" s="8" t="s">
        <v>66</v>
      </c>
      <c r="G156" s="8" t="s">
        <v>58</v>
      </c>
      <c r="H156" s="8" t="s">
        <v>67</v>
      </c>
      <c r="I156" s="8" t="s">
        <v>26</v>
      </c>
      <c r="J156" s="8" t="s">
        <v>70</v>
      </c>
      <c r="K156" s="8" t="s">
        <v>28</v>
      </c>
      <c r="L156" s="8" t="s">
        <v>54</v>
      </c>
      <c r="M156" s="8" t="s">
        <v>30</v>
      </c>
      <c r="N156" s="26">
        <v>41488</v>
      </c>
      <c r="O156" s="14">
        <v>56.201542702492802</v>
      </c>
      <c r="P156" s="8">
        <v>26.591677283901902</v>
      </c>
      <c r="Q156" s="19">
        <f t="shared" si="15"/>
        <v>1494.4932864021205</v>
      </c>
      <c r="R156" s="20">
        <v>4.9376882757990702E-2</v>
      </c>
      <c r="S156" s="29">
        <f t="shared" si="12"/>
        <v>73.793419785281728</v>
      </c>
      <c r="T156" s="20">
        <f t="shared" si="13"/>
        <v>1420.6998666168388</v>
      </c>
      <c r="U156" s="21">
        <v>7.2493975011296898</v>
      </c>
      <c r="V156" s="31">
        <f t="shared" si="14"/>
        <v>1427.9492641179684</v>
      </c>
    </row>
    <row r="157" spans="1:22" x14ac:dyDescent="0.3">
      <c r="A157" s="6" t="s">
        <v>1085</v>
      </c>
      <c r="B157" s="6">
        <f t="shared" si="11"/>
        <v>3</v>
      </c>
      <c r="C157" s="7">
        <v>41486</v>
      </c>
      <c r="D157" s="8" t="s">
        <v>65</v>
      </c>
      <c r="E157" s="8">
        <v>219398.11389957901</v>
      </c>
      <c r="F157" s="8" t="s">
        <v>66</v>
      </c>
      <c r="G157" s="8" t="s">
        <v>58</v>
      </c>
      <c r="H157" s="8" t="s">
        <v>67</v>
      </c>
      <c r="I157" s="8" t="s">
        <v>26</v>
      </c>
      <c r="J157" s="8" t="s">
        <v>70</v>
      </c>
      <c r="K157" s="8" t="s">
        <v>28</v>
      </c>
      <c r="L157" s="8" t="s">
        <v>54</v>
      </c>
      <c r="M157" s="8" t="s">
        <v>30</v>
      </c>
      <c r="N157" s="26">
        <v>41488</v>
      </c>
      <c r="O157" s="14">
        <v>56.201542702492802</v>
      </c>
      <c r="P157" s="8">
        <v>26.591677283901902</v>
      </c>
      <c r="Q157" s="19">
        <f t="shared" si="15"/>
        <v>1494.4932864021205</v>
      </c>
      <c r="R157" s="20">
        <v>4.9376882757990702E-2</v>
      </c>
      <c r="S157" s="29">
        <f t="shared" si="12"/>
        <v>73.793419785281728</v>
      </c>
      <c r="T157" s="20">
        <f t="shared" si="13"/>
        <v>1420.6998666168388</v>
      </c>
      <c r="U157" s="21">
        <v>7.2493975011296898</v>
      </c>
      <c r="V157" s="31">
        <f t="shared" si="14"/>
        <v>1427.9492641179684</v>
      </c>
    </row>
    <row r="158" spans="1:22" x14ac:dyDescent="0.3">
      <c r="A158" s="6" t="s">
        <v>1085</v>
      </c>
      <c r="B158" s="6">
        <f t="shared" si="11"/>
        <v>3</v>
      </c>
      <c r="C158" s="7">
        <v>41486</v>
      </c>
      <c r="D158" s="8" t="s">
        <v>65</v>
      </c>
      <c r="E158" s="8">
        <v>219398.11389957901</v>
      </c>
      <c r="F158" s="8" t="s">
        <v>66</v>
      </c>
      <c r="G158" s="8" t="s">
        <v>58</v>
      </c>
      <c r="H158" s="8" t="s">
        <v>67</v>
      </c>
      <c r="I158" s="8" t="s">
        <v>26</v>
      </c>
      <c r="J158" s="8" t="s">
        <v>70</v>
      </c>
      <c r="K158" s="8" t="s">
        <v>28</v>
      </c>
      <c r="L158" s="8" t="s">
        <v>54</v>
      </c>
      <c r="M158" s="8" t="s">
        <v>30</v>
      </c>
      <c r="N158" s="26">
        <v>41488</v>
      </c>
      <c r="O158" s="14">
        <v>56.201542702492802</v>
      </c>
      <c r="P158" s="8">
        <v>26.591677283901902</v>
      </c>
      <c r="Q158" s="19">
        <f t="shared" si="15"/>
        <v>1494.4932864021205</v>
      </c>
      <c r="R158" s="20">
        <v>4.9376882757990702E-2</v>
      </c>
      <c r="S158" s="29">
        <f t="shared" si="12"/>
        <v>73.793419785281728</v>
      </c>
      <c r="T158" s="20">
        <f t="shared" si="13"/>
        <v>1420.6998666168388</v>
      </c>
      <c r="U158" s="21">
        <v>7.2493975011296898</v>
      </c>
      <c r="V158" s="31">
        <f t="shared" si="14"/>
        <v>1427.9492641179684</v>
      </c>
    </row>
    <row r="159" spans="1:22" x14ac:dyDescent="0.3">
      <c r="A159" s="6" t="s">
        <v>615</v>
      </c>
      <c r="B159" s="6">
        <f t="shared" si="11"/>
        <v>3</v>
      </c>
      <c r="C159" s="7">
        <v>41488</v>
      </c>
      <c r="D159" s="8" t="s">
        <v>616</v>
      </c>
      <c r="E159" s="8">
        <v>247248</v>
      </c>
      <c r="F159" s="8" t="s">
        <v>617</v>
      </c>
      <c r="G159" s="8" t="s">
        <v>24</v>
      </c>
      <c r="H159" s="8" t="s">
        <v>99</v>
      </c>
      <c r="I159" s="8" t="s">
        <v>49</v>
      </c>
      <c r="J159" s="8" t="s">
        <v>269</v>
      </c>
      <c r="K159" s="8" t="s">
        <v>33</v>
      </c>
      <c r="L159" s="8" t="s">
        <v>34</v>
      </c>
      <c r="M159" s="8" t="s">
        <v>42</v>
      </c>
      <c r="N159" s="26">
        <v>41490</v>
      </c>
      <c r="O159" s="14">
        <v>2.78</v>
      </c>
      <c r="P159" s="8">
        <v>40</v>
      </c>
      <c r="Q159" s="19">
        <f t="shared" si="15"/>
        <v>111.19999999999999</v>
      </c>
      <c r="R159" s="20">
        <v>0.03</v>
      </c>
      <c r="S159" s="29">
        <f t="shared" si="12"/>
        <v>3.3359999999999994</v>
      </c>
      <c r="T159" s="20">
        <f t="shared" si="13"/>
        <v>107.86399999999999</v>
      </c>
      <c r="U159" s="21">
        <v>1.34</v>
      </c>
      <c r="V159" s="31">
        <f t="shared" si="14"/>
        <v>109.20399999999999</v>
      </c>
    </row>
    <row r="160" spans="1:22" x14ac:dyDescent="0.3">
      <c r="A160" s="6" t="s">
        <v>618</v>
      </c>
      <c r="B160" s="6">
        <f t="shared" si="11"/>
        <v>3</v>
      </c>
      <c r="C160" s="7">
        <v>41492</v>
      </c>
      <c r="D160" s="8" t="s">
        <v>619</v>
      </c>
      <c r="E160" s="8">
        <v>249250</v>
      </c>
      <c r="F160" s="8" t="s">
        <v>620</v>
      </c>
      <c r="G160" s="8" t="s">
        <v>85</v>
      </c>
      <c r="H160" s="8" t="s">
        <v>74</v>
      </c>
      <c r="I160" s="8" t="s">
        <v>60</v>
      </c>
      <c r="J160" s="8" t="s">
        <v>112</v>
      </c>
      <c r="K160" s="8" t="s">
        <v>33</v>
      </c>
      <c r="L160" s="8" t="s">
        <v>54</v>
      </c>
      <c r="M160" s="8" t="s">
        <v>30</v>
      </c>
      <c r="N160" s="26">
        <v>41494</v>
      </c>
      <c r="O160" s="14">
        <v>3.58</v>
      </c>
      <c r="P160" s="8">
        <v>46</v>
      </c>
      <c r="Q160" s="19">
        <f t="shared" si="15"/>
        <v>164.68</v>
      </c>
      <c r="R160" s="20">
        <v>0.06</v>
      </c>
      <c r="S160" s="29">
        <f t="shared" si="12"/>
        <v>9.8808000000000007</v>
      </c>
      <c r="T160" s="20">
        <f t="shared" si="13"/>
        <v>154.79920000000001</v>
      </c>
      <c r="U160" s="21">
        <v>5.47</v>
      </c>
      <c r="V160" s="31">
        <f t="shared" si="14"/>
        <v>160.26920000000001</v>
      </c>
    </row>
    <row r="161" spans="1:22" x14ac:dyDescent="0.3">
      <c r="A161" s="6" t="s">
        <v>621</v>
      </c>
      <c r="B161" s="6">
        <f t="shared" si="11"/>
        <v>3</v>
      </c>
      <c r="C161" s="7">
        <v>41493</v>
      </c>
      <c r="D161" s="8" t="s">
        <v>622</v>
      </c>
      <c r="E161" s="8">
        <v>25</v>
      </c>
      <c r="F161" s="8" t="s">
        <v>623</v>
      </c>
      <c r="G161" s="8" t="s">
        <v>85</v>
      </c>
      <c r="H161" s="8" t="s">
        <v>74</v>
      </c>
      <c r="I161" s="8" t="s">
        <v>136</v>
      </c>
      <c r="J161" s="8" t="s">
        <v>201</v>
      </c>
      <c r="K161" s="8" t="s">
        <v>33</v>
      </c>
      <c r="L161" s="8" t="s">
        <v>29</v>
      </c>
      <c r="M161" s="8" t="s">
        <v>30</v>
      </c>
      <c r="N161" s="26">
        <v>41495</v>
      </c>
      <c r="O161" s="14">
        <v>3.57</v>
      </c>
      <c r="P161" s="8">
        <v>23</v>
      </c>
      <c r="Q161" s="19">
        <f t="shared" si="15"/>
        <v>82.11</v>
      </c>
      <c r="R161" s="20">
        <v>0.09</v>
      </c>
      <c r="S161" s="29">
        <f t="shared" si="12"/>
        <v>7.3898999999999999</v>
      </c>
      <c r="T161" s="20">
        <f t="shared" si="13"/>
        <v>74.720100000000002</v>
      </c>
      <c r="U161" s="21">
        <v>4.17</v>
      </c>
      <c r="V161" s="31">
        <f t="shared" si="14"/>
        <v>78.890100000000004</v>
      </c>
    </row>
    <row r="162" spans="1:22" x14ac:dyDescent="0.3">
      <c r="A162" s="6" t="s">
        <v>624</v>
      </c>
      <c r="B162" s="6">
        <f t="shared" si="11"/>
        <v>3</v>
      </c>
      <c r="C162" s="7">
        <v>41494</v>
      </c>
      <c r="D162" s="8" t="s">
        <v>625</v>
      </c>
      <c r="E162" s="8">
        <v>25</v>
      </c>
      <c r="F162" s="8" t="s">
        <v>23</v>
      </c>
      <c r="G162" s="8" t="s">
        <v>85</v>
      </c>
      <c r="H162" s="8" t="s">
        <v>25</v>
      </c>
      <c r="I162" s="8" t="s">
        <v>49</v>
      </c>
      <c r="J162" s="8" t="s">
        <v>593</v>
      </c>
      <c r="K162" s="8" t="s">
        <v>28</v>
      </c>
      <c r="L162" s="8" t="s">
        <v>54</v>
      </c>
      <c r="M162" s="8" t="s">
        <v>42</v>
      </c>
      <c r="N162" s="26">
        <v>41495</v>
      </c>
      <c r="O162" s="14">
        <v>30.98</v>
      </c>
      <c r="P162" s="8">
        <v>44</v>
      </c>
      <c r="Q162" s="19">
        <f t="shared" si="15"/>
        <v>1363.1200000000001</v>
      </c>
      <c r="R162" s="20">
        <v>0.02</v>
      </c>
      <c r="S162" s="29">
        <f t="shared" si="12"/>
        <v>27.262400000000003</v>
      </c>
      <c r="T162" s="20">
        <f t="shared" si="13"/>
        <v>1335.8576</v>
      </c>
      <c r="U162" s="21">
        <v>6.5</v>
      </c>
      <c r="V162" s="31">
        <f t="shared" si="14"/>
        <v>1342.3576</v>
      </c>
    </row>
    <row r="163" spans="1:22" x14ac:dyDescent="0.3">
      <c r="A163" s="6" t="s">
        <v>626</v>
      </c>
      <c r="B163" s="6">
        <f t="shared" si="11"/>
        <v>3</v>
      </c>
      <c r="C163" s="7">
        <v>41495</v>
      </c>
      <c r="D163" s="8" t="s">
        <v>627</v>
      </c>
      <c r="E163" s="8">
        <v>25</v>
      </c>
      <c r="F163" s="8" t="s">
        <v>628</v>
      </c>
      <c r="G163" s="8" t="s">
        <v>85</v>
      </c>
      <c r="H163" s="8" t="s">
        <v>99</v>
      </c>
      <c r="I163" s="8" t="s">
        <v>49</v>
      </c>
      <c r="J163" s="8" t="s">
        <v>629</v>
      </c>
      <c r="K163" s="8" t="s">
        <v>33</v>
      </c>
      <c r="L163" s="8" t="s">
        <v>54</v>
      </c>
      <c r="M163" s="8" t="s">
        <v>30</v>
      </c>
      <c r="N163" s="26">
        <v>41496</v>
      </c>
      <c r="O163" s="14">
        <v>29.17</v>
      </c>
      <c r="P163" s="8">
        <v>8</v>
      </c>
      <c r="Q163" s="19">
        <f t="shared" si="15"/>
        <v>233.36</v>
      </c>
      <c r="R163" s="20">
        <v>0.02</v>
      </c>
      <c r="S163" s="29">
        <f t="shared" si="12"/>
        <v>4.6672000000000002</v>
      </c>
      <c r="T163" s="20">
        <f t="shared" si="13"/>
        <v>228.69280000000001</v>
      </c>
      <c r="U163" s="21">
        <v>6.27</v>
      </c>
      <c r="V163" s="31">
        <f t="shared" si="14"/>
        <v>234.96280000000002</v>
      </c>
    </row>
    <row r="164" spans="1:22" x14ac:dyDescent="0.3">
      <c r="A164" s="6" t="s">
        <v>630</v>
      </c>
      <c r="B164" s="6">
        <f t="shared" si="11"/>
        <v>3</v>
      </c>
      <c r="C164" s="7">
        <v>41495</v>
      </c>
      <c r="D164" s="8" t="s">
        <v>631</v>
      </c>
      <c r="E164" s="8">
        <v>251252</v>
      </c>
      <c r="F164" s="8" t="s">
        <v>632</v>
      </c>
      <c r="G164" s="8" t="s">
        <v>38</v>
      </c>
      <c r="H164" s="8" t="s">
        <v>74</v>
      </c>
      <c r="I164" s="8" t="s">
        <v>40</v>
      </c>
      <c r="J164" s="8" t="s">
        <v>137</v>
      </c>
      <c r="K164" s="8" t="s">
        <v>28</v>
      </c>
      <c r="L164" s="8" t="s">
        <v>106</v>
      </c>
      <c r="M164" s="8" t="s">
        <v>30</v>
      </c>
      <c r="N164" s="26">
        <v>41499</v>
      </c>
      <c r="O164" s="14">
        <v>449.99</v>
      </c>
      <c r="P164" s="8">
        <v>40</v>
      </c>
      <c r="Q164" s="19">
        <f t="shared" si="15"/>
        <v>17999.599999999999</v>
      </c>
      <c r="R164" s="20">
        <v>0.04</v>
      </c>
      <c r="S164" s="29">
        <f t="shared" si="12"/>
        <v>719.98399999999992</v>
      </c>
      <c r="T164" s="20">
        <f t="shared" si="13"/>
        <v>17279.615999999998</v>
      </c>
      <c r="U164" s="21">
        <v>24.49</v>
      </c>
      <c r="V164" s="31">
        <f t="shared" si="14"/>
        <v>17304.106</v>
      </c>
    </row>
    <row r="165" spans="1:22" x14ac:dyDescent="0.3">
      <c r="A165" s="6" t="s">
        <v>633</v>
      </c>
      <c r="B165" s="6">
        <f t="shared" si="11"/>
        <v>3</v>
      </c>
      <c r="C165" s="7">
        <v>41495</v>
      </c>
      <c r="D165" s="8" t="s">
        <v>634</v>
      </c>
      <c r="E165" s="8">
        <v>2526</v>
      </c>
      <c r="F165" s="8" t="s">
        <v>495</v>
      </c>
      <c r="G165" s="8" t="s">
        <v>24</v>
      </c>
      <c r="H165" s="8" t="s">
        <v>130</v>
      </c>
      <c r="I165" s="8" t="s">
        <v>40</v>
      </c>
      <c r="J165" s="8" t="s">
        <v>303</v>
      </c>
      <c r="K165" s="8" t="s">
        <v>28</v>
      </c>
      <c r="L165" s="8" t="s">
        <v>138</v>
      </c>
      <c r="M165" s="8" t="s">
        <v>139</v>
      </c>
      <c r="N165" s="26">
        <v>41502</v>
      </c>
      <c r="O165" s="14">
        <v>120.97</v>
      </c>
      <c r="P165" s="8">
        <v>35</v>
      </c>
      <c r="Q165" s="19">
        <f t="shared" si="15"/>
        <v>4233.95</v>
      </c>
      <c r="R165" s="20">
        <v>0.08</v>
      </c>
      <c r="S165" s="29">
        <f t="shared" si="12"/>
        <v>338.71600000000001</v>
      </c>
      <c r="T165" s="20">
        <f t="shared" si="13"/>
        <v>3895.2339999999999</v>
      </c>
      <c r="U165" s="21">
        <v>26.3</v>
      </c>
      <c r="V165" s="31">
        <f t="shared" si="14"/>
        <v>3921.5340000000001</v>
      </c>
    </row>
    <row r="166" spans="1:22" x14ac:dyDescent="0.3">
      <c r="A166" s="6" t="s">
        <v>635</v>
      </c>
      <c r="B166" s="6">
        <f t="shared" si="11"/>
        <v>3</v>
      </c>
      <c r="C166" s="7">
        <v>41496</v>
      </c>
      <c r="D166" s="8" t="s">
        <v>636</v>
      </c>
      <c r="E166" s="8">
        <v>253254</v>
      </c>
      <c r="F166" s="8" t="s">
        <v>637</v>
      </c>
      <c r="G166" s="8" t="s">
        <v>58</v>
      </c>
      <c r="H166" s="8" t="s">
        <v>48</v>
      </c>
      <c r="I166" s="8" t="s">
        <v>136</v>
      </c>
      <c r="J166" s="8" t="s">
        <v>638</v>
      </c>
      <c r="K166" s="8" t="s">
        <v>33</v>
      </c>
      <c r="L166" s="8" t="s">
        <v>54</v>
      </c>
      <c r="M166" s="8" t="s">
        <v>30</v>
      </c>
      <c r="N166" s="26">
        <v>41498</v>
      </c>
      <c r="O166" s="14">
        <v>5.74</v>
      </c>
      <c r="P166" s="8">
        <v>50</v>
      </c>
      <c r="Q166" s="19">
        <f t="shared" si="15"/>
        <v>287</v>
      </c>
      <c r="R166" s="20">
        <v>0.1</v>
      </c>
      <c r="S166" s="29">
        <f t="shared" si="12"/>
        <v>28.700000000000003</v>
      </c>
      <c r="T166" s="20">
        <f t="shared" si="13"/>
        <v>258.3</v>
      </c>
      <c r="U166" s="21">
        <v>5.01</v>
      </c>
      <c r="V166" s="31">
        <f t="shared" si="14"/>
        <v>263.31</v>
      </c>
    </row>
    <row r="167" spans="1:22" x14ac:dyDescent="0.3">
      <c r="A167" s="6" t="s">
        <v>639</v>
      </c>
      <c r="B167" s="6">
        <f t="shared" si="11"/>
        <v>3</v>
      </c>
      <c r="C167" s="7">
        <v>41497</v>
      </c>
      <c r="D167" s="8" t="s">
        <v>640</v>
      </c>
      <c r="E167" s="8">
        <v>255256</v>
      </c>
      <c r="F167" s="8" t="s">
        <v>641</v>
      </c>
      <c r="G167" s="8" t="s">
        <v>24</v>
      </c>
      <c r="H167" s="8" t="s">
        <v>74</v>
      </c>
      <c r="I167" s="8" t="s">
        <v>40</v>
      </c>
      <c r="J167" s="8" t="s">
        <v>152</v>
      </c>
      <c r="K167" s="8" t="s">
        <v>33</v>
      </c>
      <c r="L167" s="8" t="s">
        <v>34</v>
      </c>
      <c r="M167" s="8" t="s">
        <v>30</v>
      </c>
      <c r="N167" s="26">
        <v>41499</v>
      </c>
      <c r="O167" s="14">
        <v>1.48</v>
      </c>
      <c r="P167" s="8">
        <v>19</v>
      </c>
      <c r="Q167" s="19">
        <f t="shared" si="15"/>
        <v>28.12</v>
      </c>
      <c r="R167" s="20">
        <v>0.09</v>
      </c>
      <c r="S167" s="29">
        <f t="shared" si="12"/>
        <v>2.5308000000000002</v>
      </c>
      <c r="T167" s="20">
        <f t="shared" si="13"/>
        <v>25.589200000000002</v>
      </c>
      <c r="U167" s="21">
        <v>0.7</v>
      </c>
      <c r="V167" s="31">
        <f t="shared" si="14"/>
        <v>26.289200000000001</v>
      </c>
    </row>
    <row r="168" spans="1:22" x14ac:dyDescent="0.3">
      <c r="A168" s="6" t="s">
        <v>642</v>
      </c>
      <c r="B168" s="6">
        <f t="shared" si="11"/>
        <v>3</v>
      </c>
      <c r="C168" s="7">
        <v>41498</v>
      </c>
      <c r="D168" s="8" t="s">
        <v>643</v>
      </c>
      <c r="E168" s="8">
        <v>257258</v>
      </c>
      <c r="F168" s="8" t="s">
        <v>464</v>
      </c>
      <c r="G168" s="8" t="s">
        <v>38</v>
      </c>
      <c r="H168" s="8" t="s">
        <v>130</v>
      </c>
      <c r="I168" s="8" t="s">
        <v>136</v>
      </c>
      <c r="J168" s="8" t="s">
        <v>76</v>
      </c>
      <c r="K168" s="8" t="s">
        <v>33</v>
      </c>
      <c r="L168" s="8" t="s">
        <v>54</v>
      </c>
      <c r="M168" s="8" t="s">
        <v>42</v>
      </c>
      <c r="N168" s="26">
        <v>41500</v>
      </c>
      <c r="O168" s="14">
        <v>165.2</v>
      </c>
      <c r="P168" s="8">
        <v>37</v>
      </c>
      <c r="Q168" s="19">
        <f t="shared" si="15"/>
        <v>6112.4</v>
      </c>
      <c r="R168" s="20">
        <v>0.04</v>
      </c>
      <c r="S168" s="29">
        <f t="shared" si="12"/>
        <v>244.49599999999998</v>
      </c>
      <c r="T168" s="20">
        <f t="shared" si="13"/>
        <v>5867.9039999999995</v>
      </c>
      <c r="U168" s="21">
        <v>19.989999999999998</v>
      </c>
      <c r="V168" s="31">
        <f t="shared" si="14"/>
        <v>5887.8939999999993</v>
      </c>
    </row>
    <row r="169" spans="1:22" x14ac:dyDescent="0.3">
      <c r="A169" s="6" t="s">
        <v>644</v>
      </c>
      <c r="B169" s="6">
        <f t="shared" si="11"/>
        <v>3</v>
      </c>
      <c r="C169" s="7">
        <v>41500</v>
      </c>
      <c r="D169" s="8" t="s">
        <v>376</v>
      </c>
      <c r="E169" s="8">
        <v>17</v>
      </c>
      <c r="F169" s="8" t="s">
        <v>377</v>
      </c>
      <c r="G169" s="8" t="s">
        <v>24</v>
      </c>
      <c r="H169" s="8" t="s">
        <v>288</v>
      </c>
      <c r="I169" s="8" t="s">
        <v>40</v>
      </c>
      <c r="J169" s="8" t="s">
        <v>645</v>
      </c>
      <c r="K169" s="8" t="s">
        <v>33</v>
      </c>
      <c r="L169" s="8" t="s">
        <v>54</v>
      </c>
      <c r="M169" s="8" t="s">
        <v>30</v>
      </c>
      <c r="N169" s="26">
        <v>41509</v>
      </c>
      <c r="O169" s="14">
        <v>3.52</v>
      </c>
      <c r="P169" s="8">
        <v>12</v>
      </c>
      <c r="Q169" s="19">
        <f t="shared" si="15"/>
        <v>42.24</v>
      </c>
      <c r="R169" s="20">
        <v>0.04</v>
      </c>
      <c r="S169" s="29">
        <f t="shared" si="12"/>
        <v>1.6896000000000002</v>
      </c>
      <c r="T169" s="20">
        <f t="shared" si="13"/>
        <v>40.550400000000003</v>
      </c>
      <c r="U169" s="21">
        <v>6.83</v>
      </c>
      <c r="V169" s="31">
        <f t="shared" si="14"/>
        <v>47.380400000000002</v>
      </c>
    </row>
    <row r="170" spans="1:22" x14ac:dyDescent="0.3">
      <c r="A170" s="6" t="s">
        <v>646</v>
      </c>
      <c r="B170" s="6">
        <f t="shared" si="11"/>
        <v>3</v>
      </c>
      <c r="C170" s="7">
        <v>41501</v>
      </c>
      <c r="D170" s="8" t="s">
        <v>634</v>
      </c>
      <c r="E170" s="8">
        <v>2526</v>
      </c>
      <c r="F170" s="8" t="s">
        <v>495</v>
      </c>
      <c r="G170" s="8" t="s">
        <v>24</v>
      </c>
      <c r="H170" s="8" t="s">
        <v>130</v>
      </c>
      <c r="I170" s="8" t="s">
        <v>136</v>
      </c>
      <c r="J170" s="8" t="s">
        <v>63</v>
      </c>
      <c r="K170" s="8" t="s">
        <v>33</v>
      </c>
      <c r="L170" s="8" t="s">
        <v>34</v>
      </c>
      <c r="M170" s="8" t="s">
        <v>42</v>
      </c>
      <c r="N170" s="26">
        <v>41502</v>
      </c>
      <c r="O170" s="14">
        <v>2.84</v>
      </c>
      <c r="P170" s="8">
        <v>13</v>
      </c>
      <c r="Q170" s="19">
        <f t="shared" si="15"/>
        <v>36.92</v>
      </c>
      <c r="R170" s="20">
        <v>0.01</v>
      </c>
      <c r="S170" s="29">
        <f t="shared" si="12"/>
        <v>0.36920000000000003</v>
      </c>
      <c r="T170" s="20">
        <f t="shared" si="13"/>
        <v>36.550800000000002</v>
      </c>
      <c r="U170" s="21">
        <v>0.93</v>
      </c>
      <c r="V170" s="31">
        <f t="shared" si="14"/>
        <v>37.480800000000002</v>
      </c>
    </row>
    <row r="171" spans="1:22" x14ac:dyDescent="0.3">
      <c r="A171" s="6" t="s">
        <v>647</v>
      </c>
      <c r="B171" s="6">
        <f t="shared" si="11"/>
        <v>3</v>
      </c>
      <c r="C171" s="7">
        <v>41503</v>
      </c>
      <c r="D171" s="8" t="s">
        <v>648</v>
      </c>
      <c r="E171" s="8">
        <v>259260</v>
      </c>
      <c r="F171" s="8" t="s">
        <v>386</v>
      </c>
      <c r="G171" s="8" t="s">
        <v>24</v>
      </c>
      <c r="H171" s="8" t="s">
        <v>25</v>
      </c>
      <c r="I171" s="8" t="s">
        <v>49</v>
      </c>
      <c r="J171" s="8" t="s">
        <v>141</v>
      </c>
      <c r="K171" s="8" t="s">
        <v>33</v>
      </c>
      <c r="L171" s="8" t="s">
        <v>34</v>
      </c>
      <c r="M171" s="8" t="s">
        <v>30</v>
      </c>
      <c r="N171" s="26">
        <v>41503</v>
      </c>
      <c r="O171" s="14">
        <v>4</v>
      </c>
      <c r="P171" s="8">
        <v>41</v>
      </c>
      <c r="Q171" s="19">
        <f t="shared" si="15"/>
        <v>164</v>
      </c>
      <c r="R171" s="20">
        <v>0.02</v>
      </c>
      <c r="S171" s="29">
        <f t="shared" si="12"/>
        <v>3.2800000000000002</v>
      </c>
      <c r="T171" s="20">
        <f t="shared" si="13"/>
        <v>160.72</v>
      </c>
      <c r="U171" s="21">
        <v>1.3</v>
      </c>
      <c r="V171" s="31">
        <f t="shared" si="14"/>
        <v>162.02000000000001</v>
      </c>
    </row>
    <row r="172" spans="1:22" x14ac:dyDescent="0.3">
      <c r="A172" s="6" t="s">
        <v>649</v>
      </c>
      <c r="B172" s="6">
        <f t="shared" si="11"/>
        <v>3</v>
      </c>
      <c r="C172" s="7">
        <v>41506</v>
      </c>
      <c r="D172" s="8" t="s">
        <v>650</v>
      </c>
      <c r="E172" s="8">
        <v>26</v>
      </c>
      <c r="F172" s="8" t="s">
        <v>260</v>
      </c>
      <c r="G172" s="8" t="s">
        <v>85</v>
      </c>
      <c r="H172" s="8" t="s">
        <v>99</v>
      </c>
      <c r="I172" s="8" t="s">
        <v>136</v>
      </c>
      <c r="J172" s="8" t="s">
        <v>242</v>
      </c>
      <c r="K172" s="8" t="s">
        <v>243</v>
      </c>
      <c r="L172" s="8" t="s">
        <v>106</v>
      </c>
      <c r="M172" s="8" t="s">
        <v>42</v>
      </c>
      <c r="N172" s="26">
        <v>41508</v>
      </c>
      <c r="O172" s="14">
        <v>136.97999999999999</v>
      </c>
      <c r="P172" s="8">
        <v>41</v>
      </c>
      <c r="Q172" s="19">
        <f t="shared" si="15"/>
        <v>5616.1799999999994</v>
      </c>
      <c r="R172" s="20">
        <v>0.04</v>
      </c>
      <c r="S172" s="29">
        <f t="shared" si="12"/>
        <v>224.64719999999997</v>
      </c>
      <c r="T172" s="20">
        <f t="shared" si="13"/>
        <v>5391.532799999999</v>
      </c>
      <c r="U172" s="21">
        <v>24.49</v>
      </c>
      <c r="V172" s="31">
        <f t="shared" si="14"/>
        <v>5416.0227999999988</v>
      </c>
    </row>
    <row r="173" spans="1:22" x14ac:dyDescent="0.3">
      <c r="A173" s="6" t="s">
        <v>651</v>
      </c>
      <c r="B173" s="6">
        <f t="shared" si="11"/>
        <v>3</v>
      </c>
      <c r="C173" s="7">
        <v>41506</v>
      </c>
      <c r="D173" s="8" t="s">
        <v>652</v>
      </c>
      <c r="E173" s="8">
        <v>26</v>
      </c>
      <c r="F173" s="8" t="s">
        <v>571</v>
      </c>
      <c r="G173" s="8" t="s">
        <v>38</v>
      </c>
      <c r="H173" s="8" t="s">
        <v>25</v>
      </c>
      <c r="I173" s="8" t="s">
        <v>40</v>
      </c>
      <c r="J173" s="8" t="s">
        <v>32</v>
      </c>
      <c r="K173" s="8" t="s">
        <v>33</v>
      </c>
      <c r="L173" s="8" t="s">
        <v>34</v>
      </c>
      <c r="M173" s="8" t="s">
        <v>30</v>
      </c>
      <c r="N173" s="26">
        <v>41508</v>
      </c>
      <c r="O173" s="14">
        <v>6.68</v>
      </c>
      <c r="P173" s="8">
        <v>5</v>
      </c>
      <c r="Q173" s="19">
        <f t="shared" si="15"/>
        <v>33.4</v>
      </c>
      <c r="R173" s="20">
        <v>0.09</v>
      </c>
      <c r="S173" s="29">
        <f t="shared" si="12"/>
        <v>3.0059999999999998</v>
      </c>
      <c r="T173" s="20">
        <f t="shared" si="13"/>
        <v>30.393999999999998</v>
      </c>
      <c r="U173" s="21">
        <v>1.5</v>
      </c>
      <c r="V173" s="31">
        <f t="shared" si="14"/>
        <v>31.893999999999998</v>
      </c>
    </row>
    <row r="174" spans="1:22" x14ac:dyDescent="0.3">
      <c r="A174" s="6" t="s">
        <v>653</v>
      </c>
      <c r="B174" s="6">
        <f t="shared" si="11"/>
        <v>3</v>
      </c>
      <c r="C174" s="7">
        <v>41508</v>
      </c>
      <c r="D174" s="8" t="s">
        <v>654</v>
      </c>
      <c r="E174" s="8">
        <v>26</v>
      </c>
      <c r="F174" s="8" t="s">
        <v>655</v>
      </c>
      <c r="G174" s="8" t="s">
        <v>38</v>
      </c>
      <c r="H174" s="8" t="s">
        <v>398</v>
      </c>
      <c r="I174" s="8" t="s">
        <v>40</v>
      </c>
      <c r="J174" s="8" t="s">
        <v>76</v>
      </c>
      <c r="K174" s="8" t="s">
        <v>33</v>
      </c>
      <c r="L174" s="8" t="s">
        <v>54</v>
      </c>
      <c r="M174" s="8" t="s">
        <v>30</v>
      </c>
      <c r="N174" s="26">
        <v>41510</v>
      </c>
      <c r="O174" s="14">
        <v>165.2</v>
      </c>
      <c r="P174" s="8">
        <v>23</v>
      </c>
      <c r="Q174" s="19">
        <f t="shared" si="15"/>
        <v>3799.6</v>
      </c>
      <c r="R174" s="20">
        <v>7.0000000000000007E-2</v>
      </c>
      <c r="S174" s="29">
        <f t="shared" si="12"/>
        <v>265.97200000000004</v>
      </c>
      <c r="T174" s="20">
        <f t="shared" si="13"/>
        <v>3533.6279999999997</v>
      </c>
      <c r="U174" s="21">
        <v>19.989999999999998</v>
      </c>
      <c r="V174" s="31">
        <f t="shared" si="14"/>
        <v>3553.6179999999995</v>
      </c>
    </row>
    <row r="175" spans="1:22" x14ac:dyDescent="0.3">
      <c r="A175" s="6" t="s">
        <v>656</v>
      </c>
      <c r="B175" s="6">
        <f t="shared" si="11"/>
        <v>3</v>
      </c>
      <c r="C175" s="7">
        <v>41510</v>
      </c>
      <c r="D175" s="8" t="s">
        <v>657</v>
      </c>
      <c r="E175" s="8">
        <v>26</v>
      </c>
      <c r="F175" s="8" t="s">
        <v>658</v>
      </c>
      <c r="G175" s="8" t="s">
        <v>85</v>
      </c>
      <c r="H175" s="8" t="s">
        <v>130</v>
      </c>
      <c r="I175" s="8" t="s">
        <v>49</v>
      </c>
      <c r="J175" s="8" t="s">
        <v>156</v>
      </c>
      <c r="K175" s="8" t="s">
        <v>33</v>
      </c>
      <c r="L175" s="8" t="s">
        <v>29</v>
      </c>
      <c r="M175" s="8" t="s">
        <v>30</v>
      </c>
      <c r="N175" s="26">
        <v>41513</v>
      </c>
      <c r="O175" s="14">
        <v>12.98</v>
      </c>
      <c r="P175" s="8">
        <v>45</v>
      </c>
      <c r="Q175" s="19">
        <f t="shared" si="15"/>
        <v>584.1</v>
      </c>
      <c r="R175" s="20">
        <v>0.02</v>
      </c>
      <c r="S175" s="29">
        <f t="shared" si="12"/>
        <v>11.682</v>
      </c>
      <c r="T175" s="20">
        <f t="shared" si="13"/>
        <v>572.41800000000001</v>
      </c>
      <c r="U175" s="21">
        <v>3.14</v>
      </c>
      <c r="V175" s="31">
        <f t="shared" si="14"/>
        <v>575.55799999999999</v>
      </c>
    </row>
    <row r="176" spans="1:22" x14ac:dyDescent="0.3">
      <c r="A176" s="6" t="s">
        <v>659</v>
      </c>
      <c r="B176" s="6">
        <f t="shared" si="11"/>
        <v>3</v>
      </c>
      <c r="C176" s="7">
        <v>41511</v>
      </c>
      <c r="D176" s="8" t="s">
        <v>660</v>
      </c>
      <c r="E176" s="8">
        <v>26</v>
      </c>
      <c r="F176" s="8" t="s">
        <v>661</v>
      </c>
      <c r="G176" s="8" t="s">
        <v>85</v>
      </c>
      <c r="H176" s="8" t="s">
        <v>118</v>
      </c>
      <c r="I176" s="8" t="s">
        <v>49</v>
      </c>
      <c r="J176" s="8" t="s">
        <v>145</v>
      </c>
      <c r="K176" s="8" t="s">
        <v>33</v>
      </c>
      <c r="L176" s="8" t="s">
        <v>54</v>
      </c>
      <c r="M176" s="8" t="s">
        <v>30</v>
      </c>
      <c r="N176" s="26">
        <v>41512</v>
      </c>
      <c r="O176" s="14">
        <v>1.88</v>
      </c>
      <c r="P176" s="8">
        <v>42</v>
      </c>
      <c r="Q176" s="19">
        <f t="shared" si="15"/>
        <v>78.959999999999994</v>
      </c>
      <c r="R176" s="20">
        <v>0</v>
      </c>
      <c r="S176" s="29">
        <f t="shared" si="12"/>
        <v>0</v>
      </c>
      <c r="T176" s="20">
        <f t="shared" si="13"/>
        <v>78.959999999999994</v>
      </c>
      <c r="U176" s="21">
        <v>1.49</v>
      </c>
      <c r="V176" s="31">
        <f t="shared" si="14"/>
        <v>80.449999999999989</v>
      </c>
    </row>
    <row r="177" spans="1:22" x14ac:dyDescent="0.3">
      <c r="A177" s="6" t="s">
        <v>662</v>
      </c>
      <c r="B177" s="6">
        <f t="shared" si="11"/>
        <v>3</v>
      </c>
      <c r="C177" s="7">
        <v>41511</v>
      </c>
      <c r="D177" s="8" t="s">
        <v>663</v>
      </c>
      <c r="E177" s="8">
        <v>261262</v>
      </c>
      <c r="F177" s="8" t="s">
        <v>664</v>
      </c>
      <c r="G177" s="8" t="s">
        <v>38</v>
      </c>
      <c r="H177" s="8" t="s">
        <v>130</v>
      </c>
      <c r="I177" s="8" t="s">
        <v>26</v>
      </c>
      <c r="J177" s="8" t="s">
        <v>374</v>
      </c>
      <c r="K177" s="8" t="s">
        <v>33</v>
      </c>
      <c r="L177" s="8" t="s">
        <v>54</v>
      </c>
      <c r="M177" s="8" t="s">
        <v>30</v>
      </c>
      <c r="N177" s="26">
        <v>41512</v>
      </c>
      <c r="O177" s="14">
        <v>5.68</v>
      </c>
      <c r="P177" s="8">
        <v>32</v>
      </c>
      <c r="Q177" s="19">
        <f t="shared" si="15"/>
        <v>181.76</v>
      </c>
      <c r="R177" s="20">
        <v>0.05</v>
      </c>
      <c r="S177" s="29">
        <f t="shared" si="12"/>
        <v>9.0879999999999992</v>
      </c>
      <c r="T177" s="20">
        <f t="shared" si="13"/>
        <v>172.672</v>
      </c>
      <c r="U177" s="21">
        <v>1.39</v>
      </c>
      <c r="V177" s="31">
        <f t="shared" si="14"/>
        <v>174.06199999999998</v>
      </c>
    </row>
    <row r="178" spans="1:22" x14ac:dyDescent="0.3">
      <c r="A178" s="6" t="s">
        <v>665</v>
      </c>
      <c r="B178" s="6">
        <f t="shared" si="11"/>
        <v>3</v>
      </c>
      <c r="C178" s="7">
        <v>41514</v>
      </c>
      <c r="D178" s="8" t="s">
        <v>666</v>
      </c>
      <c r="E178" s="8">
        <v>263264</v>
      </c>
      <c r="F178" s="8" t="s">
        <v>667</v>
      </c>
      <c r="G178" s="8" t="s">
        <v>58</v>
      </c>
      <c r="H178" s="8" t="s">
        <v>99</v>
      </c>
      <c r="I178" s="8" t="s">
        <v>49</v>
      </c>
      <c r="J178" s="8" t="s">
        <v>610</v>
      </c>
      <c r="K178" s="8" t="s">
        <v>33</v>
      </c>
      <c r="L178" s="8" t="s">
        <v>54</v>
      </c>
      <c r="M178" s="8" t="s">
        <v>30</v>
      </c>
      <c r="N178" s="26">
        <v>41515</v>
      </c>
      <c r="O178" s="14">
        <v>3.08</v>
      </c>
      <c r="P178" s="8">
        <v>45</v>
      </c>
      <c r="Q178" s="19">
        <f t="shared" si="15"/>
        <v>138.6</v>
      </c>
      <c r="R178" s="20">
        <v>0.04</v>
      </c>
      <c r="S178" s="29">
        <f t="shared" si="12"/>
        <v>5.5439999999999996</v>
      </c>
      <c r="T178" s="20">
        <f t="shared" si="13"/>
        <v>133.05599999999998</v>
      </c>
      <c r="U178" s="21">
        <v>0.99</v>
      </c>
      <c r="V178" s="31">
        <f t="shared" si="14"/>
        <v>134.04599999999999</v>
      </c>
    </row>
    <row r="179" spans="1:22" x14ac:dyDescent="0.3">
      <c r="A179" s="6" t="s">
        <v>668</v>
      </c>
      <c r="B179" s="6">
        <f t="shared" si="11"/>
        <v>3</v>
      </c>
      <c r="C179" s="7">
        <v>41515</v>
      </c>
      <c r="D179" s="8" t="s">
        <v>663</v>
      </c>
      <c r="E179" s="8">
        <v>261262</v>
      </c>
      <c r="F179" s="8" t="s">
        <v>664</v>
      </c>
      <c r="G179" s="8" t="s">
        <v>58</v>
      </c>
      <c r="H179" s="8" t="s">
        <v>130</v>
      </c>
      <c r="I179" s="8" t="s">
        <v>49</v>
      </c>
      <c r="J179" s="8" t="s">
        <v>416</v>
      </c>
      <c r="K179" s="8" t="s">
        <v>33</v>
      </c>
      <c r="L179" s="8" t="s">
        <v>54</v>
      </c>
      <c r="M179" s="8" t="s">
        <v>30</v>
      </c>
      <c r="N179" s="26">
        <v>41516</v>
      </c>
      <c r="O179" s="14">
        <v>14.28</v>
      </c>
      <c r="P179" s="8">
        <v>8</v>
      </c>
      <c r="Q179" s="19">
        <f t="shared" si="15"/>
        <v>114.24</v>
      </c>
      <c r="R179" s="20">
        <v>0.01</v>
      </c>
      <c r="S179" s="29">
        <f t="shared" si="12"/>
        <v>1.1424000000000001</v>
      </c>
      <c r="T179" s="20">
        <f t="shared" si="13"/>
        <v>113.0976</v>
      </c>
      <c r="U179" s="21">
        <v>2.99</v>
      </c>
      <c r="V179" s="31">
        <f t="shared" si="14"/>
        <v>116.08759999999999</v>
      </c>
    </row>
    <row r="180" spans="1:22" x14ac:dyDescent="0.3">
      <c r="A180" s="6" t="s">
        <v>669</v>
      </c>
      <c r="B180" s="6">
        <f t="shared" si="11"/>
        <v>3</v>
      </c>
      <c r="C180" s="7">
        <v>41515</v>
      </c>
      <c r="D180" s="8" t="s">
        <v>670</v>
      </c>
      <c r="E180" s="8">
        <v>265266</v>
      </c>
      <c r="F180" s="8" t="s">
        <v>671</v>
      </c>
      <c r="G180" s="8" t="s">
        <v>85</v>
      </c>
      <c r="H180" s="8" t="s">
        <v>99</v>
      </c>
      <c r="I180" s="8" t="s">
        <v>40</v>
      </c>
      <c r="J180" s="8" t="s">
        <v>496</v>
      </c>
      <c r="K180" s="8" t="s">
        <v>28</v>
      </c>
      <c r="L180" s="8" t="s">
        <v>54</v>
      </c>
      <c r="M180" s="8" t="s">
        <v>30</v>
      </c>
      <c r="N180" s="26">
        <v>41520</v>
      </c>
      <c r="O180" s="14">
        <v>100.98</v>
      </c>
      <c r="P180" s="8">
        <v>12</v>
      </c>
      <c r="Q180" s="19">
        <f t="shared" si="15"/>
        <v>1211.76</v>
      </c>
      <c r="R180" s="20">
        <v>0.04</v>
      </c>
      <c r="S180" s="29">
        <f t="shared" si="12"/>
        <v>48.470399999999998</v>
      </c>
      <c r="T180" s="20">
        <f t="shared" si="13"/>
        <v>1163.2896000000001</v>
      </c>
      <c r="U180" s="21">
        <v>7.18</v>
      </c>
      <c r="V180" s="31">
        <f t="shared" si="14"/>
        <v>1170.4696000000001</v>
      </c>
    </row>
    <row r="181" spans="1:22" x14ac:dyDescent="0.3">
      <c r="A181" s="6" t="s">
        <v>672</v>
      </c>
      <c r="B181" s="6">
        <f t="shared" si="11"/>
        <v>3</v>
      </c>
      <c r="C181" s="7">
        <v>41516</v>
      </c>
      <c r="D181" s="8" t="s">
        <v>670</v>
      </c>
      <c r="E181" s="8">
        <v>265266</v>
      </c>
      <c r="F181" s="8" t="s">
        <v>671</v>
      </c>
      <c r="G181" s="8" t="s">
        <v>85</v>
      </c>
      <c r="H181" s="8" t="s">
        <v>99</v>
      </c>
      <c r="I181" s="8" t="s">
        <v>26</v>
      </c>
      <c r="J181" s="8" t="s">
        <v>75</v>
      </c>
      <c r="K181" s="8" t="s">
        <v>33</v>
      </c>
      <c r="L181" s="8" t="s">
        <v>54</v>
      </c>
      <c r="M181" s="8" t="s">
        <v>42</v>
      </c>
      <c r="N181" s="26">
        <v>41518</v>
      </c>
      <c r="O181" s="14">
        <v>3.89</v>
      </c>
      <c r="P181" s="8">
        <v>32</v>
      </c>
      <c r="Q181" s="19">
        <f t="shared" si="15"/>
        <v>124.48</v>
      </c>
      <c r="R181" s="20">
        <v>0.09</v>
      </c>
      <c r="S181" s="29">
        <f t="shared" si="12"/>
        <v>11.203200000000001</v>
      </c>
      <c r="T181" s="20">
        <f t="shared" si="13"/>
        <v>113.27680000000001</v>
      </c>
      <c r="U181" s="21">
        <v>7.01</v>
      </c>
      <c r="V181" s="31">
        <f t="shared" si="14"/>
        <v>120.28680000000001</v>
      </c>
    </row>
    <row r="182" spans="1:22" x14ac:dyDescent="0.3">
      <c r="A182" s="6" t="s">
        <v>673</v>
      </c>
      <c r="B182" s="6">
        <f t="shared" si="11"/>
        <v>3</v>
      </c>
      <c r="C182" s="7">
        <v>41518</v>
      </c>
      <c r="D182" s="8" t="s">
        <v>674</v>
      </c>
      <c r="E182" s="8">
        <v>267268</v>
      </c>
      <c r="F182" s="8" t="s">
        <v>422</v>
      </c>
      <c r="G182" s="8" t="s">
        <v>85</v>
      </c>
      <c r="H182" s="8" t="s">
        <v>67</v>
      </c>
      <c r="I182" s="8" t="s">
        <v>60</v>
      </c>
      <c r="J182" s="8" t="s">
        <v>145</v>
      </c>
      <c r="K182" s="8" t="s">
        <v>33</v>
      </c>
      <c r="L182" s="8" t="s">
        <v>54</v>
      </c>
      <c r="M182" s="8" t="s">
        <v>30</v>
      </c>
      <c r="N182" s="26">
        <v>41519</v>
      </c>
      <c r="O182" s="14">
        <v>1.88</v>
      </c>
      <c r="P182" s="8">
        <v>43</v>
      </c>
      <c r="Q182" s="19">
        <f t="shared" si="15"/>
        <v>80.839999999999989</v>
      </c>
      <c r="R182" s="20">
        <v>0.03</v>
      </c>
      <c r="S182" s="29">
        <f t="shared" si="12"/>
        <v>2.4251999999999998</v>
      </c>
      <c r="T182" s="20">
        <f t="shared" si="13"/>
        <v>78.414799999999985</v>
      </c>
      <c r="U182" s="21">
        <v>1.49</v>
      </c>
      <c r="V182" s="31">
        <f t="shared" si="14"/>
        <v>79.90479999999998</v>
      </c>
    </row>
    <row r="183" spans="1:22" x14ac:dyDescent="0.3">
      <c r="A183" s="6" t="s">
        <v>675</v>
      </c>
      <c r="B183" s="6">
        <f t="shared" si="11"/>
        <v>3</v>
      </c>
      <c r="C183" s="7">
        <v>41519</v>
      </c>
      <c r="D183" s="8" t="s">
        <v>676</v>
      </c>
      <c r="E183" s="8">
        <v>269270</v>
      </c>
      <c r="F183" s="8" t="s">
        <v>294</v>
      </c>
      <c r="G183" s="8" t="s">
        <v>24</v>
      </c>
      <c r="H183" s="8" t="s">
        <v>39</v>
      </c>
      <c r="I183" s="8" t="s">
        <v>136</v>
      </c>
      <c r="J183" s="8" t="s">
        <v>249</v>
      </c>
      <c r="K183" s="8" t="s">
        <v>33</v>
      </c>
      <c r="L183" s="8" t="s">
        <v>54</v>
      </c>
      <c r="M183" s="8" t="s">
        <v>30</v>
      </c>
      <c r="N183" s="26">
        <v>41520</v>
      </c>
      <c r="O183" s="14">
        <v>10.89</v>
      </c>
      <c r="P183" s="8">
        <v>9</v>
      </c>
      <c r="Q183" s="19">
        <f t="shared" si="15"/>
        <v>98.01</v>
      </c>
      <c r="R183" s="20">
        <v>0.03</v>
      </c>
      <c r="S183" s="29">
        <f t="shared" si="12"/>
        <v>2.9403000000000001</v>
      </c>
      <c r="T183" s="20">
        <f t="shared" si="13"/>
        <v>95.069700000000012</v>
      </c>
      <c r="U183" s="21">
        <v>4.5</v>
      </c>
      <c r="V183" s="31">
        <f t="shared" si="14"/>
        <v>99.569700000000012</v>
      </c>
    </row>
    <row r="184" spans="1:22" x14ac:dyDescent="0.3">
      <c r="A184" s="6" t="s">
        <v>677</v>
      </c>
      <c r="B184" s="6">
        <f t="shared" si="11"/>
        <v>3</v>
      </c>
      <c r="C184" s="7">
        <v>41520</v>
      </c>
      <c r="D184" s="8" t="s">
        <v>392</v>
      </c>
      <c r="E184" s="8">
        <v>173174</v>
      </c>
      <c r="F184" s="8" t="s">
        <v>393</v>
      </c>
      <c r="G184" s="8" t="s">
        <v>24</v>
      </c>
      <c r="H184" s="8" t="s">
        <v>48</v>
      </c>
      <c r="I184" s="8" t="s">
        <v>40</v>
      </c>
      <c r="J184" s="8" t="s">
        <v>201</v>
      </c>
      <c r="K184" s="8" t="s">
        <v>33</v>
      </c>
      <c r="L184" s="8" t="s">
        <v>29</v>
      </c>
      <c r="M184" s="8" t="s">
        <v>30</v>
      </c>
      <c r="N184" s="26">
        <v>41522</v>
      </c>
      <c r="O184" s="14">
        <v>3.57</v>
      </c>
      <c r="P184" s="8">
        <v>26</v>
      </c>
      <c r="Q184" s="19">
        <f t="shared" si="15"/>
        <v>92.82</v>
      </c>
      <c r="R184" s="20">
        <v>0.04</v>
      </c>
      <c r="S184" s="29">
        <f t="shared" si="12"/>
        <v>3.7127999999999997</v>
      </c>
      <c r="T184" s="20">
        <f t="shared" si="13"/>
        <v>89.107199999999992</v>
      </c>
      <c r="U184" s="21">
        <v>4.17</v>
      </c>
      <c r="V184" s="31">
        <f t="shared" si="14"/>
        <v>93.277199999999993</v>
      </c>
    </row>
    <row r="185" spans="1:22" x14ac:dyDescent="0.3">
      <c r="A185" s="6" t="s">
        <v>678</v>
      </c>
      <c r="B185" s="6">
        <f t="shared" si="11"/>
        <v>3</v>
      </c>
      <c r="C185" s="7">
        <v>41521</v>
      </c>
      <c r="D185" s="8" t="s">
        <v>679</v>
      </c>
      <c r="E185" s="8">
        <v>27</v>
      </c>
      <c r="F185" s="8" t="s">
        <v>680</v>
      </c>
      <c r="G185" s="8" t="s">
        <v>38</v>
      </c>
      <c r="H185" s="8" t="s">
        <v>74</v>
      </c>
      <c r="I185" s="8" t="s">
        <v>49</v>
      </c>
      <c r="J185" s="8" t="s">
        <v>41</v>
      </c>
      <c r="K185" s="8" t="s">
        <v>33</v>
      </c>
      <c r="L185" s="8" t="s">
        <v>34</v>
      </c>
      <c r="M185" s="8" t="s">
        <v>42</v>
      </c>
      <c r="N185" s="26">
        <v>41523</v>
      </c>
      <c r="O185" s="14">
        <v>5.18</v>
      </c>
      <c r="P185" s="8">
        <v>37</v>
      </c>
      <c r="Q185" s="19">
        <f t="shared" si="15"/>
        <v>191.66</v>
      </c>
      <c r="R185" s="20">
        <v>7.0000000000000007E-2</v>
      </c>
      <c r="S185" s="29">
        <f t="shared" si="12"/>
        <v>13.416200000000002</v>
      </c>
      <c r="T185" s="20">
        <f t="shared" si="13"/>
        <v>178.24379999999999</v>
      </c>
      <c r="U185" s="21">
        <v>2.04</v>
      </c>
      <c r="V185" s="31">
        <f t="shared" si="14"/>
        <v>180.28379999999999</v>
      </c>
    </row>
    <row r="186" spans="1:22" x14ac:dyDescent="0.3">
      <c r="A186" s="6" t="s">
        <v>681</v>
      </c>
      <c r="B186" s="6">
        <f t="shared" si="11"/>
        <v>3</v>
      </c>
      <c r="C186" s="7">
        <v>41521</v>
      </c>
      <c r="D186" s="8" t="s">
        <v>682</v>
      </c>
      <c r="E186" s="8">
        <v>27</v>
      </c>
      <c r="F186" s="8" t="s">
        <v>683</v>
      </c>
      <c r="G186" s="8" t="s">
        <v>24</v>
      </c>
      <c r="H186" s="8" t="s">
        <v>288</v>
      </c>
      <c r="I186" s="8" t="s">
        <v>40</v>
      </c>
      <c r="J186" s="8" t="s">
        <v>477</v>
      </c>
      <c r="K186" s="8" t="s">
        <v>33</v>
      </c>
      <c r="L186" s="8" t="s">
        <v>54</v>
      </c>
      <c r="M186" s="8" t="s">
        <v>30</v>
      </c>
      <c r="N186" s="26">
        <v>41526</v>
      </c>
      <c r="O186" s="14">
        <v>6.3</v>
      </c>
      <c r="P186" s="8">
        <v>39</v>
      </c>
      <c r="Q186" s="19">
        <f t="shared" si="15"/>
        <v>245.7</v>
      </c>
      <c r="R186" s="20">
        <v>0.1</v>
      </c>
      <c r="S186" s="29">
        <f t="shared" si="12"/>
        <v>24.57</v>
      </c>
      <c r="T186" s="20">
        <f t="shared" si="13"/>
        <v>221.13</v>
      </c>
      <c r="U186" s="21">
        <v>0.5</v>
      </c>
      <c r="V186" s="31">
        <f t="shared" si="14"/>
        <v>221.63</v>
      </c>
    </row>
    <row r="187" spans="1:22" x14ac:dyDescent="0.3">
      <c r="A187" s="6" t="s">
        <v>684</v>
      </c>
      <c r="B187" s="6">
        <f t="shared" si="11"/>
        <v>3</v>
      </c>
      <c r="C187" s="7">
        <v>41526</v>
      </c>
      <c r="D187" s="8" t="s">
        <v>685</v>
      </c>
      <c r="E187" s="8">
        <v>271272</v>
      </c>
      <c r="F187" s="8" t="s">
        <v>686</v>
      </c>
      <c r="G187" s="8" t="s">
        <v>24</v>
      </c>
      <c r="H187" s="8" t="s">
        <v>39</v>
      </c>
      <c r="I187" s="8" t="s">
        <v>49</v>
      </c>
      <c r="J187" s="8" t="s">
        <v>610</v>
      </c>
      <c r="K187" s="8" t="s">
        <v>33</v>
      </c>
      <c r="L187" s="8" t="s">
        <v>54</v>
      </c>
      <c r="M187" s="8" t="s">
        <v>30</v>
      </c>
      <c r="N187" s="26">
        <v>41527</v>
      </c>
      <c r="O187" s="14">
        <v>3.08</v>
      </c>
      <c r="P187" s="8">
        <v>24</v>
      </c>
      <c r="Q187" s="19">
        <f t="shared" si="15"/>
        <v>73.92</v>
      </c>
      <c r="R187" s="20">
        <v>0.04</v>
      </c>
      <c r="S187" s="29">
        <f t="shared" si="12"/>
        <v>2.9568000000000003</v>
      </c>
      <c r="T187" s="20">
        <f t="shared" si="13"/>
        <v>70.963200000000001</v>
      </c>
      <c r="U187" s="21">
        <v>0.99</v>
      </c>
      <c r="V187" s="31">
        <f t="shared" si="14"/>
        <v>71.953199999999995</v>
      </c>
    </row>
    <row r="188" spans="1:22" x14ac:dyDescent="0.3">
      <c r="A188" s="6" t="s">
        <v>687</v>
      </c>
      <c r="B188" s="6">
        <f t="shared" si="11"/>
        <v>3</v>
      </c>
      <c r="C188" s="7">
        <v>41527</v>
      </c>
      <c r="D188" s="8" t="s">
        <v>688</v>
      </c>
      <c r="E188" s="8">
        <v>2728</v>
      </c>
      <c r="F188" s="8" t="s">
        <v>689</v>
      </c>
      <c r="G188" s="8" t="s">
        <v>24</v>
      </c>
      <c r="H188" s="8" t="s">
        <v>130</v>
      </c>
      <c r="I188" s="8" t="s">
        <v>49</v>
      </c>
      <c r="J188" s="8" t="s">
        <v>506</v>
      </c>
      <c r="K188" s="8" t="s">
        <v>33</v>
      </c>
      <c r="L188" s="8" t="s">
        <v>34</v>
      </c>
      <c r="M188" s="8" t="s">
        <v>30</v>
      </c>
      <c r="N188" s="26">
        <v>41529</v>
      </c>
      <c r="O188" s="14">
        <v>3.38</v>
      </c>
      <c r="P188" s="8">
        <v>27</v>
      </c>
      <c r="Q188" s="19">
        <f t="shared" si="15"/>
        <v>91.259999999999991</v>
      </c>
      <c r="R188" s="20">
        <v>0.08</v>
      </c>
      <c r="S188" s="29">
        <f t="shared" si="12"/>
        <v>7.3007999999999997</v>
      </c>
      <c r="T188" s="20">
        <f t="shared" si="13"/>
        <v>83.959199999999996</v>
      </c>
      <c r="U188" s="21">
        <v>0.85</v>
      </c>
      <c r="V188" s="31">
        <f t="shared" si="14"/>
        <v>84.80919999999999</v>
      </c>
    </row>
    <row r="189" spans="1:22" x14ac:dyDescent="0.3">
      <c r="A189" s="6" t="s">
        <v>690</v>
      </c>
      <c r="B189" s="6">
        <f t="shared" si="11"/>
        <v>3</v>
      </c>
      <c r="C189" s="7">
        <v>41529</v>
      </c>
      <c r="D189" s="8" t="s">
        <v>691</v>
      </c>
      <c r="E189" s="8">
        <v>273274</v>
      </c>
      <c r="F189" s="8" t="s">
        <v>692</v>
      </c>
      <c r="G189" s="8" t="s">
        <v>38</v>
      </c>
      <c r="H189" s="8" t="s">
        <v>288</v>
      </c>
      <c r="I189" s="8" t="s">
        <v>60</v>
      </c>
      <c r="J189" s="8" t="s">
        <v>249</v>
      </c>
      <c r="K189" s="8" t="s">
        <v>33</v>
      </c>
      <c r="L189" s="8" t="s">
        <v>54</v>
      </c>
      <c r="M189" s="8" t="s">
        <v>30</v>
      </c>
      <c r="N189" s="26">
        <v>41531</v>
      </c>
      <c r="O189" s="14">
        <v>10.89</v>
      </c>
      <c r="P189" s="8">
        <v>37</v>
      </c>
      <c r="Q189" s="19">
        <f t="shared" si="15"/>
        <v>402.93</v>
      </c>
      <c r="R189" s="20">
        <v>0.1</v>
      </c>
      <c r="S189" s="29">
        <f t="shared" si="12"/>
        <v>40.293000000000006</v>
      </c>
      <c r="T189" s="20">
        <f t="shared" si="13"/>
        <v>362.637</v>
      </c>
      <c r="U189" s="21">
        <v>4.5</v>
      </c>
      <c r="V189" s="31">
        <f t="shared" si="14"/>
        <v>367.137</v>
      </c>
    </row>
    <row r="190" spans="1:22" x14ac:dyDescent="0.3">
      <c r="A190" s="6" t="s">
        <v>693</v>
      </c>
      <c r="B190" s="6">
        <f t="shared" si="11"/>
        <v>3</v>
      </c>
      <c r="C190" s="7">
        <v>41529</v>
      </c>
      <c r="D190" s="8" t="s">
        <v>694</v>
      </c>
      <c r="E190" s="8">
        <v>275276</v>
      </c>
      <c r="F190" s="8" t="s">
        <v>695</v>
      </c>
      <c r="G190" s="8" t="s">
        <v>58</v>
      </c>
      <c r="H190" s="8" t="s">
        <v>99</v>
      </c>
      <c r="I190" s="8" t="s">
        <v>49</v>
      </c>
      <c r="J190" s="8" t="s">
        <v>332</v>
      </c>
      <c r="K190" s="8" t="s">
        <v>33</v>
      </c>
      <c r="L190" s="8" t="s">
        <v>54</v>
      </c>
      <c r="M190" s="8" t="s">
        <v>30</v>
      </c>
      <c r="N190" s="26">
        <v>41532</v>
      </c>
      <c r="O190" s="14">
        <v>7.64</v>
      </c>
      <c r="P190" s="8">
        <v>44</v>
      </c>
      <c r="Q190" s="19">
        <f t="shared" si="15"/>
        <v>336.15999999999997</v>
      </c>
      <c r="R190" s="20">
        <v>0.01</v>
      </c>
      <c r="S190" s="29">
        <f t="shared" si="12"/>
        <v>3.3615999999999997</v>
      </c>
      <c r="T190" s="20">
        <f t="shared" si="13"/>
        <v>332.79839999999996</v>
      </c>
      <c r="U190" s="21">
        <v>1.39</v>
      </c>
      <c r="V190" s="31">
        <f t="shared" si="14"/>
        <v>334.18839999999994</v>
      </c>
    </row>
    <row r="191" spans="1:22" x14ac:dyDescent="0.3">
      <c r="A191" s="6" t="s">
        <v>696</v>
      </c>
      <c r="B191" s="6">
        <f t="shared" si="11"/>
        <v>3</v>
      </c>
      <c r="C191" s="7">
        <v>41529</v>
      </c>
      <c r="D191" s="8" t="s">
        <v>697</v>
      </c>
      <c r="E191" s="8">
        <v>277278</v>
      </c>
      <c r="F191" s="8" t="s">
        <v>370</v>
      </c>
      <c r="G191" s="8" t="s">
        <v>24</v>
      </c>
      <c r="H191" s="8" t="s">
        <v>39</v>
      </c>
      <c r="I191" s="8" t="s">
        <v>26</v>
      </c>
      <c r="J191" s="8" t="s">
        <v>195</v>
      </c>
      <c r="K191" s="8" t="s">
        <v>28</v>
      </c>
      <c r="L191" s="8" t="s">
        <v>54</v>
      </c>
      <c r="M191" s="8" t="s">
        <v>30</v>
      </c>
      <c r="N191" s="26">
        <v>41531</v>
      </c>
      <c r="O191" s="14">
        <v>80.98</v>
      </c>
      <c r="P191" s="8">
        <v>34</v>
      </c>
      <c r="Q191" s="19">
        <f t="shared" si="15"/>
        <v>2753.32</v>
      </c>
      <c r="R191" s="20">
        <v>7.0000000000000007E-2</v>
      </c>
      <c r="S191" s="29">
        <f t="shared" si="12"/>
        <v>192.73240000000004</v>
      </c>
      <c r="T191" s="20">
        <f t="shared" si="13"/>
        <v>2560.5876000000003</v>
      </c>
      <c r="U191" s="21">
        <v>7.18</v>
      </c>
      <c r="V191" s="31">
        <f t="shared" si="14"/>
        <v>2567.7676000000001</v>
      </c>
    </row>
    <row r="192" spans="1:22" x14ac:dyDescent="0.3">
      <c r="A192" s="6" t="s">
        <v>698</v>
      </c>
      <c r="B192" s="6">
        <f t="shared" si="11"/>
        <v>3</v>
      </c>
      <c r="C192" s="7">
        <v>41531</v>
      </c>
      <c r="D192" s="8" t="s">
        <v>272</v>
      </c>
      <c r="E192" s="8">
        <v>141142</v>
      </c>
      <c r="F192" s="8" t="s">
        <v>273</v>
      </c>
      <c r="G192" s="8" t="s">
        <v>85</v>
      </c>
      <c r="H192" s="8" t="s">
        <v>67</v>
      </c>
      <c r="I192" s="8" t="s">
        <v>40</v>
      </c>
      <c r="J192" s="8" t="s">
        <v>699</v>
      </c>
      <c r="K192" s="8" t="s">
        <v>33</v>
      </c>
      <c r="L192" s="8" t="s">
        <v>29</v>
      </c>
      <c r="M192" s="8" t="s">
        <v>42</v>
      </c>
      <c r="N192" s="26">
        <v>41535</v>
      </c>
      <c r="O192" s="14">
        <v>5.68</v>
      </c>
      <c r="P192" s="8">
        <v>46</v>
      </c>
      <c r="Q192" s="19">
        <f t="shared" si="15"/>
        <v>261.27999999999997</v>
      </c>
      <c r="R192" s="20">
        <v>0.1</v>
      </c>
      <c r="S192" s="29">
        <f t="shared" si="12"/>
        <v>26.128</v>
      </c>
      <c r="T192" s="20">
        <f t="shared" si="13"/>
        <v>235.15199999999999</v>
      </c>
      <c r="U192" s="21">
        <v>3.6</v>
      </c>
      <c r="V192" s="31">
        <f t="shared" si="14"/>
        <v>238.75199999999998</v>
      </c>
    </row>
    <row r="193" spans="1:22" x14ac:dyDescent="0.3">
      <c r="A193" s="6" t="s">
        <v>700</v>
      </c>
      <c r="B193" s="6">
        <f t="shared" si="11"/>
        <v>3</v>
      </c>
      <c r="C193" s="7">
        <v>41534</v>
      </c>
      <c r="D193" s="8" t="s">
        <v>701</v>
      </c>
      <c r="E193" s="8">
        <v>279280</v>
      </c>
      <c r="F193" s="8" t="s">
        <v>397</v>
      </c>
      <c r="G193" s="8" t="s">
        <v>24</v>
      </c>
      <c r="H193" s="8" t="s">
        <v>25</v>
      </c>
      <c r="I193" s="8" t="s">
        <v>136</v>
      </c>
      <c r="J193" s="8" t="s">
        <v>638</v>
      </c>
      <c r="K193" s="8" t="s">
        <v>33</v>
      </c>
      <c r="L193" s="8" t="s">
        <v>54</v>
      </c>
      <c r="M193" s="8" t="s">
        <v>30</v>
      </c>
      <c r="N193" s="26">
        <v>41536</v>
      </c>
      <c r="O193" s="14">
        <v>5.74</v>
      </c>
      <c r="P193" s="8">
        <v>3</v>
      </c>
      <c r="Q193" s="19">
        <f t="shared" si="15"/>
        <v>17.22</v>
      </c>
      <c r="R193" s="20">
        <v>0.08</v>
      </c>
      <c r="S193" s="29">
        <f t="shared" si="12"/>
        <v>1.3775999999999999</v>
      </c>
      <c r="T193" s="20">
        <f t="shared" si="13"/>
        <v>15.8424</v>
      </c>
      <c r="U193" s="21">
        <v>5.01</v>
      </c>
      <c r="V193" s="31">
        <f t="shared" si="14"/>
        <v>20.852399999999999</v>
      </c>
    </row>
    <row r="194" spans="1:22" x14ac:dyDescent="0.3">
      <c r="A194" s="6" t="s">
        <v>702</v>
      </c>
      <c r="B194" s="6">
        <f t="shared" si="11"/>
        <v>3</v>
      </c>
      <c r="C194" s="7">
        <v>41535</v>
      </c>
      <c r="D194" s="8" t="s">
        <v>703</v>
      </c>
      <c r="E194" s="8">
        <v>28</v>
      </c>
      <c r="F194" s="8" t="s">
        <v>704</v>
      </c>
      <c r="G194" s="8" t="s">
        <v>85</v>
      </c>
      <c r="H194" s="8" t="s">
        <v>298</v>
      </c>
      <c r="I194" s="8" t="s">
        <v>40</v>
      </c>
      <c r="J194" s="8" t="s">
        <v>171</v>
      </c>
      <c r="K194" s="8" t="s">
        <v>33</v>
      </c>
      <c r="L194" s="8" t="s">
        <v>54</v>
      </c>
      <c r="M194" s="8" t="s">
        <v>42</v>
      </c>
      <c r="N194" s="26">
        <v>41542</v>
      </c>
      <c r="O194" s="14">
        <v>22.38</v>
      </c>
      <c r="P194" s="8">
        <v>16</v>
      </c>
      <c r="Q194" s="19">
        <f t="shared" si="15"/>
        <v>358.08</v>
      </c>
      <c r="R194" s="20">
        <v>0</v>
      </c>
      <c r="S194" s="29">
        <f t="shared" si="12"/>
        <v>0</v>
      </c>
      <c r="T194" s="20">
        <f t="shared" si="13"/>
        <v>358.08</v>
      </c>
      <c r="U194" s="21">
        <v>15.1</v>
      </c>
      <c r="V194" s="31">
        <f t="shared" si="14"/>
        <v>373.18</v>
      </c>
    </row>
    <row r="195" spans="1:22" x14ac:dyDescent="0.3">
      <c r="A195" s="6" t="s">
        <v>705</v>
      </c>
      <c r="B195" s="6">
        <f t="shared" ref="B195:B258" si="16">INT((MONTH(C195) +2)/3)</f>
        <v>3</v>
      </c>
      <c r="C195" s="7">
        <v>41537</v>
      </c>
      <c r="D195" s="8" t="s">
        <v>706</v>
      </c>
      <c r="E195" s="8">
        <v>28</v>
      </c>
      <c r="F195" s="8" t="s">
        <v>707</v>
      </c>
      <c r="G195" s="8" t="s">
        <v>24</v>
      </c>
      <c r="H195" s="8" t="s">
        <v>92</v>
      </c>
      <c r="I195" s="8" t="s">
        <v>136</v>
      </c>
      <c r="J195" s="8" t="s">
        <v>339</v>
      </c>
      <c r="K195" s="8" t="s">
        <v>33</v>
      </c>
      <c r="L195" s="8" t="s">
        <v>54</v>
      </c>
      <c r="M195" s="8" t="s">
        <v>30</v>
      </c>
      <c r="N195" s="26">
        <v>41538</v>
      </c>
      <c r="O195" s="14">
        <v>58.1</v>
      </c>
      <c r="P195" s="8">
        <v>7</v>
      </c>
      <c r="Q195" s="19">
        <f t="shared" si="15"/>
        <v>406.7</v>
      </c>
      <c r="R195" s="20">
        <v>0.1</v>
      </c>
      <c r="S195" s="29">
        <f t="shared" ref="S195:S258" si="17">PRODUCT(Q195,R195)</f>
        <v>40.67</v>
      </c>
      <c r="T195" s="20">
        <f t="shared" ref="T195:T258" si="18">SUM(Q195,-S195)</f>
        <v>366.03</v>
      </c>
      <c r="U195" s="21">
        <v>1.49</v>
      </c>
      <c r="V195" s="31">
        <f t="shared" ref="V195:V258" si="19">SUM(T195,U195)</f>
        <v>367.52</v>
      </c>
    </row>
    <row r="196" spans="1:22" x14ac:dyDescent="0.3">
      <c r="A196" s="6" t="s">
        <v>708</v>
      </c>
      <c r="B196" s="6">
        <f t="shared" si="16"/>
        <v>3</v>
      </c>
      <c r="C196" s="7">
        <v>41539</v>
      </c>
      <c r="D196" s="8" t="s">
        <v>709</v>
      </c>
      <c r="E196" s="8">
        <v>28</v>
      </c>
      <c r="F196" s="8" t="s">
        <v>710</v>
      </c>
      <c r="G196" s="8" t="s">
        <v>85</v>
      </c>
      <c r="H196" s="8" t="s">
        <v>25</v>
      </c>
      <c r="I196" s="8" t="s">
        <v>60</v>
      </c>
      <c r="J196" s="8" t="s">
        <v>101</v>
      </c>
      <c r="K196" s="8" t="s">
        <v>33</v>
      </c>
      <c r="L196" s="8" t="s">
        <v>29</v>
      </c>
      <c r="M196" s="8" t="s">
        <v>30</v>
      </c>
      <c r="N196" s="26">
        <v>41541</v>
      </c>
      <c r="O196" s="14">
        <v>2.08</v>
      </c>
      <c r="P196" s="8">
        <v>43</v>
      </c>
      <c r="Q196" s="19">
        <f t="shared" si="15"/>
        <v>89.44</v>
      </c>
      <c r="R196" s="20">
        <v>0.05</v>
      </c>
      <c r="S196" s="29">
        <f t="shared" si="17"/>
        <v>4.4720000000000004</v>
      </c>
      <c r="T196" s="20">
        <f t="shared" si="18"/>
        <v>84.968000000000004</v>
      </c>
      <c r="U196" s="21">
        <v>2.56</v>
      </c>
      <c r="V196" s="31">
        <f t="shared" si="19"/>
        <v>87.528000000000006</v>
      </c>
    </row>
    <row r="197" spans="1:22" x14ac:dyDescent="0.3">
      <c r="A197" s="6" t="s">
        <v>711</v>
      </c>
      <c r="B197" s="6">
        <f t="shared" si="16"/>
        <v>3</v>
      </c>
      <c r="C197" s="7">
        <v>41540</v>
      </c>
      <c r="D197" s="8" t="s">
        <v>712</v>
      </c>
      <c r="E197" s="8">
        <v>281282</v>
      </c>
      <c r="F197" s="8" t="s">
        <v>713</v>
      </c>
      <c r="G197" s="8" t="s">
        <v>58</v>
      </c>
      <c r="H197" s="8" t="s">
        <v>346</v>
      </c>
      <c r="I197" s="8" t="s">
        <v>40</v>
      </c>
      <c r="J197" s="8" t="s">
        <v>456</v>
      </c>
      <c r="K197" s="8" t="s">
        <v>28</v>
      </c>
      <c r="L197" s="8" t="s">
        <v>51</v>
      </c>
      <c r="M197" s="8" t="s">
        <v>30</v>
      </c>
      <c r="N197" s="26">
        <v>41547</v>
      </c>
      <c r="O197" s="14">
        <v>15.99</v>
      </c>
      <c r="P197" s="8">
        <v>27</v>
      </c>
      <c r="Q197" s="19">
        <f t="shared" si="15"/>
        <v>431.73</v>
      </c>
      <c r="R197" s="20">
        <v>0.01</v>
      </c>
      <c r="S197" s="29">
        <f t="shared" si="17"/>
        <v>4.3173000000000004</v>
      </c>
      <c r="T197" s="20">
        <f t="shared" si="18"/>
        <v>427.41270000000003</v>
      </c>
      <c r="U197" s="21">
        <v>11.28</v>
      </c>
      <c r="V197" s="31">
        <f t="shared" si="19"/>
        <v>438.6927</v>
      </c>
    </row>
    <row r="198" spans="1:22" x14ac:dyDescent="0.3">
      <c r="A198" s="6" t="s">
        <v>714</v>
      </c>
      <c r="B198" s="6">
        <f t="shared" si="16"/>
        <v>3</v>
      </c>
      <c r="C198" s="7">
        <v>41543</v>
      </c>
      <c r="D198" s="8" t="s">
        <v>546</v>
      </c>
      <c r="E198" s="8">
        <v>223224</v>
      </c>
      <c r="F198" s="8" t="s">
        <v>547</v>
      </c>
      <c r="G198" s="8" t="s">
        <v>85</v>
      </c>
      <c r="H198" s="8" t="s">
        <v>25</v>
      </c>
      <c r="I198" s="8" t="s">
        <v>26</v>
      </c>
      <c r="J198" s="8" t="s">
        <v>41</v>
      </c>
      <c r="K198" s="8" t="s">
        <v>33</v>
      </c>
      <c r="L198" s="8" t="s">
        <v>34</v>
      </c>
      <c r="M198" s="8" t="s">
        <v>30</v>
      </c>
      <c r="N198" s="26">
        <v>41545</v>
      </c>
      <c r="O198" s="14">
        <v>5.18</v>
      </c>
      <c r="P198" s="8">
        <v>23</v>
      </c>
      <c r="Q198" s="19">
        <f t="shared" si="15"/>
        <v>119.13999999999999</v>
      </c>
      <c r="R198" s="20">
        <v>0.05</v>
      </c>
      <c r="S198" s="29">
        <f t="shared" si="17"/>
        <v>5.9569999999999999</v>
      </c>
      <c r="T198" s="20">
        <f t="shared" si="18"/>
        <v>113.18299999999999</v>
      </c>
      <c r="U198" s="21">
        <v>2.04</v>
      </c>
      <c r="V198" s="31">
        <f t="shared" si="19"/>
        <v>115.223</v>
      </c>
    </row>
    <row r="199" spans="1:22" x14ac:dyDescent="0.3">
      <c r="A199" s="6" t="s">
        <v>715</v>
      </c>
      <c r="B199" s="6">
        <f t="shared" si="16"/>
        <v>3</v>
      </c>
      <c r="C199" s="7">
        <v>41543</v>
      </c>
      <c r="D199" s="8" t="s">
        <v>716</v>
      </c>
      <c r="E199" s="8">
        <v>283284</v>
      </c>
      <c r="F199" s="8" t="s">
        <v>247</v>
      </c>
      <c r="G199" s="8" t="s">
        <v>85</v>
      </c>
      <c r="H199" s="8" t="s">
        <v>48</v>
      </c>
      <c r="I199" s="8" t="s">
        <v>136</v>
      </c>
      <c r="J199" s="8" t="s">
        <v>161</v>
      </c>
      <c r="K199" s="8" t="s">
        <v>33</v>
      </c>
      <c r="L199" s="8" t="s">
        <v>54</v>
      </c>
      <c r="M199" s="8" t="s">
        <v>30</v>
      </c>
      <c r="N199" s="26">
        <v>41545</v>
      </c>
      <c r="O199" s="14">
        <v>34.76</v>
      </c>
      <c r="P199" s="8">
        <v>15</v>
      </c>
      <c r="Q199" s="19">
        <f t="shared" si="15"/>
        <v>521.4</v>
      </c>
      <c r="R199" s="20">
        <v>0.09</v>
      </c>
      <c r="S199" s="29">
        <f t="shared" si="17"/>
        <v>46.925999999999995</v>
      </c>
      <c r="T199" s="20">
        <f t="shared" si="18"/>
        <v>474.47399999999999</v>
      </c>
      <c r="U199" s="21">
        <v>8.2200000000000006</v>
      </c>
      <c r="V199" s="31">
        <f t="shared" si="19"/>
        <v>482.69400000000002</v>
      </c>
    </row>
    <row r="200" spans="1:22" x14ac:dyDescent="0.3">
      <c r="A200" s="6" t="s">
        <v>717</v>
      </c>
      <c r="B200" s="6">
        <f t="shared" si="16"/>
        <v>3</v>
      </c>
      <c r="C200" s="7">
        <v>41544</v>
      </c>
      <c r="D200" s="8" t="s">
        <v>352</v>
      </c>
      <c r="E200" s="8">
        <v>16</v>
      </c>
      <c r="F200" s="8" t="s">
        <v>353</v>
      </c>
      <c r="G200" s="8" t="s">
        <v>24</v>
      </c>
      <c r="H200" s="8" t="s">
        <v>130</v>
      </c>
      <c r="I200" s="8" t="s">
        <v>40</v>
      </c>
      <c r="J200" s="8" t="s">
        <v>95</v>
      </c>
      <c r="K200" s="8" t="s">
        <v>33</v>
      </c>
      <c r="L200" s="8" t="s">
        <v>54</v>
      </c>
      <c r="M200" s="8" t="s">
        <v>30</v>
      </c>
      <c r="N200" s="26">
        <v>41549</v>
      </c>
      <c r="O200" s="14">
        <v>54.1</v>
      </c>
      <c r="P200" s="8">
        <v>19</v>
      </c>
      <c r="Q200" s="19">
        <f t="shared" si="15"/>
        <v>1027.9000000000001</v>
      </c>
      <c r="R200" s="20">
        <v>0.1</v>
      </c>
      <c r="S200" s="29">
        <f t="shared" si="17"/>
        <v>102.79000000000002</v>
      </c>
      <c r="T200" s="20">
        <f t="shared" si="18"/>
        <v>925.11000000000013</v>
      </c>
      <c r="U200" s="21">
        <v>19.989999999999998</v>
      </c>
      <c r="V200" s="31">
        <f t="shared" si="19"/>
        <v>945.10000000000014</v>
      </c>
    </row>
    <row r="201" spans="1:22" x14ac:dyDescent="0.3">
      <c r="A201" s="6" t="s">
        <v>718</v>
      </c>
      <c r="B201" s="6">
        <f t="shared" si="16"/>
        <v>3</v>
      </c>
      <c r="C201" s="7">
        <v>41547</v>
      </c>
      <c r="D201" s="8" t="s">
        <v>719</v>
      </c>
      <c r="E201" s="8">
        <v>285286</v>
      </c>
      <c r="F201" s="8" t="s">
        <v>720</v>
      </c>
      <c r="G201" s="8" t="s">
        <v>24</v>
      </c>
      <c r="H201" s="8" t="s">
        <v>130</v>
      </c>
      <c r="I201" s="8" t="s">
        <v>49</v>
      </c>
      <c r="J201" s="8" t="s">
        <v>41</v>
      </c>
      <c r="K201" s="8" t="s">
        <v>33</v>
      </c>
      <c r="L201" s="8" t="s">
        <v>34</v>
      </c>
      <c r="M201" s="8" t="s">
        <v>30</v>
      </c>
      <c r="N201" s="26">
        <v>41549</v>
      </c>
      <c r="O201" s="14">
        <v>5.18</v>
      </c>
      <c r="P201" s="8">
        <v>10</v>
      </c>
      <c r="Q201" s="19">
        <f t="shared" si="15"/>
        <v>51.8</v>
      </c>
      <c r="R201" s="20">
        <v>0.01</v>
      </c>
      <c r="S201" s="29">
        <f t="shared" si="17"/>
        <v>0.51800000000000002</v>
      </c>
      <c r="T201" s="20">
        <f t="shared" si="18"/>
        <v>51.281999999999996</v>
      </c>
      <c r="U201" s="21">
        <v>2.04</v>
      </c>
      <c r="V201" s="31">
        <f t="shared" si="19"/>
        <v>53.321999999999996</v>
      </c>
    </row>
    <row r="202" spans="1:22" x14ac:dyDescent="0.3">
      <c r="A202" s="6" t="s">
        <v>721</v>
      </c>
      <c r="B202" s="6">
        <f t="shared" si="16"/>
        <v>4</v>
      </c>
      <c r="C202" s="7">
        <v>41548</v>
      </c>
      <c r="D202" s="8" t="s">
        <v>722</v>
      </c>
      <c r="E202" s="8">
        <v>287288</v>
      </c>
      <c r="F202" s="8" t="s">
        <v>723</v>
      </c>
      <c r="G202" s="8" t="s">
        <v>24</v>
      </c>
      <c r="H202" s="8" t="s">
        <v>48</v>
      </c>
      <c r="I202" s="8" t="s">
        <v>26</v>
      </c>
      <c r="J202" s="8" t="s">
        <v>263</v>
      </c>
      <c r="K202" s="8" t="s">
        <v>28</v>
      </c>
      <c r="L202" s="8" t="s">
        <v>29</v>
      </c>
      <c r="M202" s="8" t="s">
        <v>42</v>
      </c>
      <c r="N202" s="26">
        <v>41549</v>
      </c>
      <c r="O202" s="14">
        <v>35.409999999999997</v>
      </c>
      <c r="P202" s="8">
        <v>16</v>
      </c>
      <c r="Q202" s="19">
        <f t="shared" si="15"/>
        <v>566.55999999999995</v>
      </c>
      <c r="R202" s="20">
        <v>0</v>
      </c>
      <c r="S202" s="29">
        <f t="shared" si="17"/>
        <v>0</v>
      </c>
      <c r="T202" s="20">
        <f t="shared" si="18"/>
        <v>566.55999999999995</v>
      </c>
      <c r="U202" s="21">
        <v>1.99</v>
      </c>
      <c r="V202" s="31">
        <f t="shared" si="19"/>
        <v>568.54999999999995</v>
      </c>
    </row>
    <row r="203" spans="1:22" x14ac:dyDescent="0.3">
      <c r="A203" s="6" t="s">
        <v>724</v>
      </c>
      <c r="B203" s="6">
        <f t="shared" si="16"/>
        <v>4</v>
      </c>
      <c r="C203" s="7">
        <v>41550</v>
      </c>
      <c r="D203" s="8" t="s">
        <v>598</v>
      </c>
      <c r="E203" s="8">
        <v>24</v>
      </c>
      <c r="F203" s="8" t="s">
        <v>599</v>
      </c>
      <c r="G203" s="8" t="s">
        <v>58</v>
      </c>
      <c r="H203" s="8" t="s">
        <v>39</v>
      </c>
      <c r="I203" s="8" t="s">
        <v>136</v>
      </c>
      <c r="J203" s="8" t="s">
        <v>446</v>
      </c>
      <c r="K203" s="8" t="s">
        <v>33</v>
      </c>
      <c r="L203" s="8" t="s">
        <v>34</v>
      </c>
      <c r="M203" s="8" t="s">
        <v>42</v>
      </c>
      <c r="N203" s="26">
        <v>41551</v>
      </c>
      <c r="O203" s="14">
        <v>36.549999999999997</v>
      </c>
      <c r="P203" s="8">
        <v>46</v>
      </c>
      <c r="Q203" s="19">
        <f t="shared" si="15"/>
        <v>1681.3</v>
      </c>
      <c r="R203" s="20">
        <v>0.05</v>
      </c>
      <c r="S203" s="29">
        <f t="shared" si="17"/>
        <v>84.064999999999998</v>
      </c>
      <c r="T203" s="20">
        <f t="shared" si="18"/>
        <v>1597.2349999999999</v>
      </c>
      <c r="U203" s="21">
        <v>13.89</v>
      </c>
      <c r="V203" s="31">
        <f t="shared" si="19"/>
        <v>1611.125</v>
      </c>
    </row>
    <row r="204" spans="1:22" x14ac:dyDescent="0.3">
      <c r="A204" s="6" t="s">
        <v>725</v>
      </c>
      <c r="B204" s="6">
        <f t="shared" si="16"/>
        <v>4</v>
      </c>
      <c r="C204" s="7">
        <v>41551</v>
      </c>
      <c r="D204" s="8" t="s">
        <v>726</v>
      </c>
      <c r="E204" s="8">
        <v>289290</v>
      </c>
      <c r="F204" s="8" t="s">
        <v>727</v>
      </c>
      <c r="G204" s="8" t="s">
        <v>24</v>
      </c>
      <c r="H204" s="8" t="s">
        <v>398</v>
      </c>
      <c r="I204" s="8" t="s">
        <v>136</v>
      </c>
      <c r="J204" s="8" t="s">
        <v>520</v>
      </c>
      <c r="K204" s="8" t="s">
        <v>33</v>
      </c>
      <c r="L204" s="8" t="s">
        <v>54</v>
      </c>
      <c r="M204" s="8" t="s">
        <v>30</v>
      </c>
      <c r="N204" s="26">
        <v>41552</v>
      </c>
      <c r="O204" s="14">
        <v>415.88</v>
      </c>
      <c r="P204" s="8">
        <v>2</v>
      </c>
      <c r="Q204" s="19">
        <f t="shared" si="15"/>
        <v>831.76</v>
      </c>
      <c r="R204" s="20">
        <v>0.08</v>
      </c>
      <c r="S204" s="29">
        <f t="shared" si="17"/>
        <v>66.540800000000004</v>
      </c>
      <c r="T204" s="20">
        <f t="shared" si="18"/>
        <v>765.2192</v>
      </c>
      <c r="U204" s="21">
        <v>11.37</v>
      </c>
      <c r="V204" s="31">
        <f t="shared" si="19"/>
        <v>776.58920000000001</v>
      </c>
    </row>
    <row r="205" spans="1:22" x14ac:dyDescent="0.3">
      <c r="A205" s="6" t="s">
        <v>728</v>
      </c>
      <c r="B205" s="6">
        <f t="shared" si="16"/>
        <v>4</v>
      </c>
      <c r="C205" s="7">
        <v>41552</v>
      </c>
      <c r="D205" s="8" t="s">
        <v>729</v>
      </c>
      <c r="E205" s="8">
        <v>29</v>
      </c>
      <c r="F205" s="8" t="s">
        <v>730</v>
      </c>
      <c r="G205" s="8" t="s">
        <v>58</v>
      </c>
      <c r="H205" s="8" t="s">
        <v>130</v>
      </c>
      <c r="I205" s="8" t="s">
        <v>40</v>
      </c>
      <c r="J205" s="8" t="s">
        <v>731</v>
      </c>
      <c r="K205" s="8" t="s">
        <v>28</v>
      </c>
      <c r="L205" s="8" t="s">
        <v>54</v>
      </c>
      <c r="M205" s="8" t="s">
        <v>30</v>
      </c>
      <c r="N205" s="26">
        <v>41559</v>
      </c>
      <c r="O205" s="14">
        <v>95.99</v>
      </c>
      <c r="P205" s="8">
        <v>17</v>
      </c>
      <c r="Q205" s="19">
        <f t="shared" si="15"/>
        <v>1631.83</v>
      </c>
      <c r="R205" s="20">
        <v>0.09</v>
      </c>
      <c r="S205" s="29">
        <f t="shared" si="17"/>
        <v>146.8647</v>
      </c>
      <c r="T205" s="20">
        <f t="shared" si="18"/>
        <v>1484.9652999999998</v>
      </c>
      <c r="U205" s="21">
        <v>8.99</v>
      </c>
      <c r="V205" s="31">
        <f t="shared" si="19"/>
        <v>1493.9552999999999</v>
      </c>
    </row>
    <row r="206" spans="1:22" x14ac:dyDescent="0.3">
      <c r="A206" s="6" t="s">
        <v>732</v>
      </c>
      <c r="B206" s="6">
        <f t="shared" si="16"/>
        <v>4</v>
      </c>
      <c r="C206" s="7">
        <v>41552</v>
      </c>
      <c r="D206" s="8" t="s">
        <v>508</v>
      </c>
      <c r="E206" s="8">
        <v>21</v>
      </c>
      <c r="F206" s="8" t="s">
        <v>509</v>
      </c>
      <c r="G206" s="8" t="s">
        <v>24</v>
      </c>
      <c r="H206" s="8" t="s">
        <v>25</v>
      </c>
      <c r="I206" s="8" t="s">
        <v>26</v>
      </c>
      <c r="J206" s="8" t="s">
        <v>552</v>
      </c>
      <c r="K206" s="8" t="s">
        <v>33</v>
      </c>
      <c r="L206" s="8" t="s">
        <v>54</v>
      </c>
      <c r="M206" s="8" t="s">
        <v>30</v>
      </c>
      <c r="N206" s="26">
        <v>41554</v>
      </c>
      <c r="O206" s="14">
        <v>2.08</v>
      </c>
      <c r="P206" s="8">
        <v>16</v>
      </c>
      <c r="Q206" s="19">
        <f t="shared" si="15"/>
        <v>33.28</v>
      </c>
      <c r="R206" s="20">
        <v>0.04</v>
      </c>
      <c r="S206" s="29">
        <f t="shared" si="17"/>
        <v>1.3312000000000002</v>
      </c>
      <c r="T206" s="20">
        <f t="shared" si="18"/>
        <v>31.948800000000002</v>
      </c>
      <c r="U206" s="21">
        <v>1.49</v>
      </c>
      <c r="V206" s="31">
        <f t="shared" si="19"/>
        <v>33.438800000000001</v>
      </c>
    </row>
    <row r="207" spans="1:22" x14ac:dyDescent="0.3">
      <c r="A207" s="6" t="s">
        <v>733</v>
      </c>
      <c r="B207" s="6">
        <f t="shared" si="16"/>
        <v>4</v>
      </c>
      <c r="C207" s="7">
        <v>41553</v>
      </c>
      <c r="D207" s="8" t="s">
        <v>460</v>
      </c>
      <c r="E207" s="8">
        <v>195196</v>
      </c>
      <c r="F207" s="8" t="s">
        <v>461</v>
      </c>
      <c r="G207" s="8" t="s">
        <v>24</v>
      </c>
      <c r="H207" s="8" t="s">
        <v>118</v>
      </c>
      <c r="I207" s="8" t="s">
        <v>26</v>
      </c>
      <c r="J207" s="8" t="s">
        <v>50</v>
      </c>
      <c r="K207" s="8" t="s">
        <v>28</v>
      </c>
      <c r="L207" s="8" t="s">
        <v>51</v>
      </c>
      <c r="M207" s="8" t="s">
        <v>30</v>
      </c>
      <c r="N207" s="26">
        <v>41554</v>
      </c>
      <c r="O207" s="14">
        <v>20.99</v>
      </c>
      <c r="P207" s="8">
        <v>25</v>
      </c>
      <c r="Q207" s="19">
        <f t="shared" si="15"/>
        <v>524.75</v>
      </c>
      <c r="R207" s="20">
        <v>0.05</v>
      </c>
      <c r="S207" s="29">
        <f t="shared" si="17"/>
        <v>26.237500000000001</v>
      </c>
      <c r="T207" s="20">
        <f t="shared" si="18"/>
        <v>498.51249999999999</v>
      </c>
      <c r="U207" s="21">
        <v>4.8099999999999996</v>
      </c>
      <c r="V207" s="31">
        <f t="shared" si="19"/>
        <v>503.32249999999999</v>
      </c>
    </row>
    <row r="208" spans="1:22" x14ac:dyDescent="0.3">
      <c r="A208" s="6" t="s">
        <v>734</v>
      </c>
      <c r="B208" s="6">
        <f t="shared" si="16"/>
        <v>4</v>
      </c>
      <c r="C208" s="7">
        <v>41556</v>
      </c>
      <c r="D208" s="8" t="s">
        <v>735</v>
      </c>
      <c r="E208" s="8">
        <v>29</v>
      </c>
      <c r="F208" s="8" t="s">
        <v>260</v>
      </c>
      <c r="G208" s="8" t="s">
        <v>24</v>
      </c>
      <c r="H208" s="8" t="s">
        <v>67</v>
      </c>
      <c r="I208" s="8" t="s">
        <v>26</v>
      </c>
      <c r="J208" s="8" t="s">
        <v>269</v>
      </c>
      <c r="K208" s="8" t="s">
        <v>33</v>
      </c>
      <c r="L208" s="8" t="s">
        <v>34</v>
      </c>
      <c r="M208" s="8" t="s">
        <v>30</v>
      </c>
      <c r="N208" s="26">
        <v>41558</v>
      </c>
      <c r="O208" s="14">
        <v>2.78</v>
      </c>
      <c r="P208" s="8">
        <v>6</v>
      </c>
      <c r="Q208" s="19">
        <f t="shared" si="15"/>
        <v>16.68</v>
      </c>
      <c r="R208" s="20">
        <v>0.01</v>
      </c>
      <c r="S208" s="29">
        <f t="shared" si="17"/>
        <v>0.1668</v>
      </c>
      <c r="T208" s="20">
        <f t="shared" si="18"/>
        <v>16.513200000000001</v>
      </c>
      <c r="U208" s="21">
        <v>1.34</v>
      </c>
      <c r="V208" s="31">
        <f t="shared" si="19"/>
        <v>17.853200000000001</v>
      </c>
    </row>
    <row r="209" spans="1:22" x14ac:dyDescent="0.3">
      <c r="A209" s="6" t="s">
        <v>71</v>
      </c>
      <c r="B209" s="6">
        <f t="shared" si="16"/>
        <v>4</v>
      </c>
      <c r="C209" s="7">
        <v>41558</v>
      </c>
      <c r="D209" s="8" t="s">
        <v>72</v>
      </c>
      <c r="E209" s="8">
        <v>10</v>
      </c>
      <c r="F209" s="8" t="s">
        <v>73</v>
      </c>
      <c r="G209" s="8" t="s">
        <v>58</v>
      </c>
      <c r="H209" s="8" t="s">
        <v>74</v>
      </c>
      <c r="I209" s="8" t="s">
        <v>49</v>
      </c>
      <c r="J209" s="8" t="s">
        <v>75</v>
      </c>
      <c r="K209" s="8" t="s">
        <v>33</v>
      </c>
      <c r="L209" s="8" t="s">
        <v>54</v>
      </c>
      <c r="M209" s="8" t="s">
        <v>30</v>
      </c>
      <c r="N209" s="26">
        <v>41560</v>
      </c>
      <c r="O209" s="14">
        <v>3.89</v>
      </c>
      <c r="P209" s="8">
        <v>2</v>
      </c>
      <c r="Q209" s="19">
        <f t="shared" si="15"/>
        <v>7.78</v>
      </c>
      <c r="R209" s="20">
        <v>7.0000000000000007E-2</v>
      </c>
      <c r="S209" s="29">
        <f t="shared" si="17"/>
        <v>0.54460000000000008</v>
      </c>
      <c r="T209" s="20">
        <f t="shared" si="18"/>
        <v>7.2354000000000003</v>
      </c>
      <c r="U209" s="21">
        <v>7.01</v>
      </c>
      <c r="V209" s="31">
        <f t="shared" si="19"/>
        <v>14.2454</v>
      </c>
    </row>
    <row r="210" spans="1:22" x14ac:dyDescent="0.3">
      <c r="A210" s="6" t="s">
        <v>1086</v>
      </c>
      <c r="B210" s="6">
        <f t="shared" si="16"/>
        <v>4</v>
      </c>
      <c r="C210" s="7">
        <v>41558</v>
      </c>
      <c r="D210" s="8" t="s">
        <v>72</v>
      </c>
      <c r="E210" s="8">
        <v>219786.04660218599</v>
      </c>
      <c r="F210" s="8" t="s">
        <v>73</v>
      </c>
      <c r="G210" s="8" t="s">
        <v>58</v>
      </c>
      <c r="H210" s="8" t="s">
        <v>74</v>
      </c>
      <c r="I210" s="8" t="s">
        <v>49</v>
      </c>
      <c r="J210" s="8" t="s">
        <v>75</v>
      </c>
      <c r="K210" s="8" t="s">
        <v>33</v>
      </c>
      <c r="L210" s="8" t="s">
        <v>54</v>
      </c>
      <c r="M210" s="8" t="s">
        <v>30</v>
      </c>
      <c r="N210" s="26">
        <v>41560</v>
      </c>
      <c r="O210" s="14">
        <v>56.246927521668098</v>
      </c>
      <c r="P210" s="8">
        <v>26.594738636567602</v>
      </c>
      <c r="Q210" s="19">
        <f t="shared" si="15"/>
        <v>1495.8723365487242</v>
      </c>
      <c r="R210" s="20">
        <v>4.9360633086295701E-2</v>
      </c>
      <c r="S210" s="29">
        <f t="shared" si="17"/>
        <v>73.837205548321407</v>
      </c>
      <c r="T210" s="20">
        <f t="shared" si="18"/>
        <v>1422.0351310004028</v>
      </c>
      <c r="U210" s="21">
        <v>7.2546584241032104</v>
      </c>
      <c r="V210" s="31">
        <f t="shared" si="19"/>
        <v>1429.2897894245059</v>
      </c>
    </row>
    <row r="211" spans="1:22" x14ac:dyDescent="0.3">
      <c r="A211" s="6" t="s">
        <v>1086</v>
      </c>
      <c r="B211" s="6">
        <f t="shared" si="16"/>
        <v>4</v>
      </c>
      <c r="C211" s="7">
        <v>41558</v>
      </c>
      <c r="D211" s="8" t="s">
        <v>72</v>
      </c>
      <c r="E211" s="8">
        <v>219786.04660218599</v>
      </c>
      <c r="F211" s="8" t="s">
        <v>73</v>
      </c>
      <c r="G211" s="8" t="s">
        <v>58</v>
      </c>
      <c r="H211" s="8" t="s">
        <v>74</v>
      </c>
      <c r="I211" s="8" t="s">
        <v>49</v>
      </c>
      <c r="J211" s="8" t="s">
        <v>75</v>
      </c>
      <c r="K211" s="8" t="s">
        <v>33</v>
      </c>
      <c r="L211" s="8" t="s">
        <v>54</v>
      </c>
      <c r="M211" s="8" t="s">
        <v>30</v>
      </c>
      <c r="N211" s="26">
        <v>41560</v>
      </c>
      <c r="O211" s="14">
        <v>56.246927521668098</v>
      </c>
      <c r="P211" s="8">
        <v>26.594738636567602</v>
      </c>
      <c r="Q211" s="19">
        <f t="shared" si="15"/>
        <v>1495.8723365487242</v>
      </c>
      <c r="R211" s="20">
        <v>4.9360633086295701E-2</v>
      </c>
      <c r="S211" s="29">
        <f t="shared" si="17"/>
        <v>73.837205548321407</v>
      </c>
      <c r="T211" s="20">
        <f t="shared" si="18"/>
        <v>1422.0351310004028</v>
      </c>
      <c r="U211" s="21">
        <v>7.2546584241032104</v>
      </c>
      <c r="V211" s="31">
        <f t="shared" si="19"/>
        <v>1429.2897894245059</v>
      </c>
    </row>
    <row r="212" spans="1:22" x14ac:dyDescent="0.3">
      <c r="A212" s="6" t="s">
        <v>1086</v>
      </c>
      <c r="B212" s="6">
        <f t="shared" si="16"/>
        <v>4</v>
      </c>
      <c r="C212" s="7">
        <v>41558</v>
      </c>
      <c r="D212" s="8" t="s">
        <v>72</v>
      </c>
      <c r="E212" s="8">
        <v>219786.04660218599</v>
      </c>
      <c r="F212" s="8" t="s">
        <v>73</v>
      </c>
      <c r="G212" s="8" t="s">
        <v>58</v>
      </c>
      <c r="H212" s="8" t="s">
        <v>74</v>
      </c>
      <c r="I212" s="8" t="s">
        <v>49</v>
      </c>
      <c r="J212" s="8" t="s">
        <v>75</v>
      </c>
      <c r="K212" s="8" t="s">
        <v>33</v>
      </c>
      <c r="L212" s="8" t="s">
        <v>54</v>
      </c>
      <c r="M212" s="8" t="s">
        <v>30</v>
      </c>
      <c r="N212" s="26">
        <v>41560</v>
      </c>
      <c r="O212" s="14">
        <v>56.246927521668098</v>
      </c>
      <c r="P212" s="8">
        <v>26.594738636567602</v>
      </c>
      <c r="Q212" s="19">
        <f t="shared" si="15"/>
        <v>1495.8723365487242</v>
      </c>
      <c r="R212" s="20">
        <v>4.9360633086295701E-2</v>
      </c>
      <c r="S212" s="29">
        <f t="shared" si="17"/>
        <v>73.837205548321407</v>
      </c>
      <c r="T212" s="20">
        <f t="shared" si="18"/>
        <v>1422.0351310004028</v>
      </c>
      <c r="U212" s="21">
        <v>7.2546584241032104</v>
      </c>
      <c r="V212" s="31">
        <f t="shared" si="19"/>
        <v>1429.2897894245059</v>
      </c>
    </row>
    <row r="213" spans="1:22" x14ac:dyDescent="0.3">
      <c r="A213" s="6" t="s">
        <v>736</v>
      </c>
      <c r="B213" s="6">
        <f t="shared" si="16"/>
        <v>4</v>
      </c>
      <c r="C213" s="7">
        <v>41558</v>
      </c>
      <c r="D213" s="8" t="s">
        <v>737</v>
      </c>
      <c r="E213" s="8">
        <v>29</v>
      </c>
      <c r="F213" s="8" t="s">
        <v>383</v>
      </c>
      <c r="G213" s="8" t="s">
        <v>38</v>
      </c>
      <c r="H213" s="8" t="s">
        <v>99</v>
      </c>
      <c r="I213" s="8" t="s">
        <v>60</v>
      </c>
      <c r="J213" s="8" t="s">
        <v>320</v>
      </c>
      <c r="K213" s="8" t="s">
        <v>33</v>
      </c>
      <c r="L213" s="8" t="s">
        <v>34</v>
      </c>
      <c r="M213" s="8" t="s">
        <v>30</v>
      </c>
      <c r="N213" s="26">
        <v>41559</v>
      </c>
      <c r="O213" s="14">
        <v>1.68</v>
      </c>
      <c r="P213" s="8">
        <v>38</v>
      </c>
      <c r="Q213" s="19">
        <f t="shared" ref="Q213:Q276" si="20">PRODUCT(O213,P213)</f>
        <v>63.839999999999996</v>
      </c>
      <c r="R213" s="20">
        <v>7.0000000000000007E-2</v>
      </c>
      <c r="S213" s="29">
        <f t="shared" si="17"/>
        <v>4.4687999999999999</v>
      </c>
      <c r="T213" s="20">
        <f t="shared" si="18"/>
        <v>59.371199999999995</v>
      </c>
      <c r="U213" s="21">
        <v>1</v>
      </c>
      <c r="V213" s="31">
        <f t="shared" si="19"/>
        <v>60.371199999999995</v>
      </c>
    </row>
    <row r="214" spans="1:22" x14ac:dyDescent="0.3">
      <c r="A214" s="6" t="s">
        <v>77</v>
      </c>
      <c r="B214" s="6">
        <f t="shared" si="16"/>
        <v>4</v>
      </c>
      <c r="C214" s="7">
        <v>41560</v>
      </c>
      <c r="D214" s="8" t="s">
        <v>78</v>
      </c>
      <c r="E214" s="8">
        <v>1011</v>
      </c>
      <c r="F214" s="8" t="s">
        <v>79</v>
      </c>
      <c r="G214" s="8" t="s">
        <v>24</v>
      </c>
      <c r="H214" s="8" t="s">
        <v>25</v>
      </c>
      <c r="I214" s="8" t="s">
        <v>60</v>
      </c>
      <c r="J214" s="8" t="s">
        <v>80</v>
      </c>
      <c r="K214" s="8" t="s">
        <v>28</v>
      </c>
      <c r="L214" s="8" t="s">
        <v>54</v>
      </c>
      <c r="M214" s="8" t="s">
        <v>30</v>
      </c>
      <c r="N214" s="26">
        <v>41561</v>
      </c>
      <c r="O214" s="14">
        <v>155.99</v>
      </c>
      <c r="P214" s="8">
        <v>48</v>
      </c>
      <c r="Q214" s="19">
        <f t="shared" si="20"/>
        <v>7487.52</v>
      </c>
      <c r="R214" s="20">
        <v>0.04</v>
      </c>
      <c r="S214" s="29">
        <f t="shared" si="17"/>
        <v>299.50080000000003</v>
      </c>
      <c r="T214" s="20">
        <f t="shared" si="18"/>
        <v>7188.0192000000006</v>
      </c>
      <c r="U214" s="21">
        <v>8.08</v>
      </c>
      <c r="V214" s="31">
        <f t="shared" si="19"/>
        <v>7196.0992000000006</v>
      </c>
    </row>
    <row r="215" spans="1:22" x14ac:dyDescent="0.3">
      <c r="A215" s="6" t="s">
        <v>81</v>
      </c>
      <c r="B215" s="6">
        <f t="shared" si="16"/>
        <v>4</v>
      </c>
      <c r="C215" s="7">
        <v>41560</v>
      </c>
      <c r="D215" s="8" t="s">
        <v>78</v>
      </c>
      <c r="E215" s="8">
        <v>1011</v>
      </c>
      <c r="F215" s="8" t="s">
        <v>79</v>
      </c>
      <c r="G215" s="8" t="s">
        <v>24</v>
      </c>
      <c r="H215" s="8" t="s">
        <v>25</v>
      </c>
      <c r="I215" s="8" t="s">
        <v>60</v>
      </c>
      <c r="J215" s="8" t="s">
        <v>53</v>
      </c>
      <c r="K215" s="8" t="s">
        <v>33</v>
      </c>
      <c r="L215" s="8" t="s">
        <v>54</v>
      </c>
      <c r="M215" s="8" t="s">
        <v>30</v>
      </c>
      <c r="N215" s="26">
        <v>41560</v>
      </c>
      <c r="O215" s="14">
        <v>5.4</v>
      </c>
      <c r="P215" s="8">
        <v>8</v>
      </c>
      <c r="Q215" s="19">
        <f t="shared" si="20"/>
        <v>43.2</v>
      </c>
      <c r="R215" s="20">
        <v>0.08</v>
      </c>
      <c r="S215" s="29">
        <f t="shared" si="17"/>
        <v>3.4560000000000004</v>
      </c>
      <c r="T215" s="20">
        <f t="shared" si="18"/>
        <v>39.744</v>
      </c>
      <c r="U215" s="21">
        <v>7.78</v>
      </c>
      <c r="V215" s="31">
        <f t="shared" si="19"/>
        <v>47.524000000000001</v>
      </c>
    </row>
    <row r="216" spans="1:22" x14ac:dyDescent="0.3">
      <c r="A216" s="6" t="s">
        <v>1087</v>
      </c>
      <c r="B216" s="6">
        <f t="shared" si="16"/>
        <v>4</v>
      </c>
      <c r="C216" s="7">
        <v>41560</v>
      </c>
      <c r="D216" s="8" t="s">
        <v>78</v>
      </c>
      <c r="E216" s="8">
        <v>220561.91200740001</v>
      </c>
      <c r="F216" s="8" t="s">
        <v>79</v>
      </c>
      <c r="G216" s="8" t="s">
        <v>24</v>
      </c>
      <c r="H216" s="8" t="s">
        <v>25</v>
      </c>
      <c r="I216" s="8" t="s">
        <v>60</v>
      </c>
      <c r="J216" s="8" t="s">
        <v>1088</v>
      </c>
      <c r="K216" s="8" t="s">
        <v>28</v>
      </c>
      <c r="L216" s="8" t="s">
        <v>54</v>
      </c>
      <c r="M216" s="8" t="s">
        <v>30</v>
      </c>
      <c r="N216" s="26">
        <v>41561</v>
      </c>
      <c r="O216" s="14">
        <v>56.337697160018699</v>
      </c>
      <c r="P216" s="8">
        <v>26.600861341898899</v>
      </c>
      <c r="Q216" s="19">
        <f t="shared" si="20"/>
        <v>1498.6312704755487</v>
      </c>
      <c r="R216" s="20">
        <v>4.9328133742905698E-2</v>
      </c>
      <c r="S216" s="29">
        <f t="shared" si="17"/>
        <v>73.924683741318546</v>
      </c>
      <c r="T216" s="20">
        <f t="shared" si="18"/>
        <v>1424.7065867342301</v>
      </c>
      <c r="U216" s="21">
        <v>7.2651802700502497</v>
      </c>
      <c r="V216" s="31">
        <f t="shared" si="19"/>
        <v>1431.9717670042803</v>
      </c>
    </row>
    <row r="217" spans="1:22" x14ac:dyDescent="0.3">
      <c r="A217" s="6" t="s">
        <v>1087</v>
      </c>
      <c r="B217" s="6">
        <f t="shared" si="16"/>
        <v>4</v>
      </c>
      <c r="C217" s="7">
        <v>41560</v>
      </c>
      <c r="D217" s="8" t="s">
        <v>78</v>
      </c>
      <c r="E217" s="8">
        <v>220561.91200740001</v>
      </c>
      <c r="F217" s="8" t="s">
        <v>79</v>
      </c>
      <c r="G217" s="8" t="s">
        <v>24</v>
      </c>
      <c r="H217" s="8" t="s">
        <v>25</v>
      </c>
      <c r="I217" s="8" t="s">
        <v>60</v>
      </c>
      <c r="J217" s="8" t="s">
        <v>1088</v>
      </c>
      <c r="K217" s="8" t="s">
        <v>28</v>
      </c>
      <c r="L217" s="8" t="s">
        <v>54</v>
      </c>
      <c r="M217" s="8" t="s">
        <v>30</v>
      </c>
      <c r="N217" s="26">
        <v>41561</v>
      </c>
      <c r="O217" s="14">
        <v>56.337697160018699</v>
      </c>
      <c r="P217" s="8">
        <v>26.600861341898899</v>
      </c>
      <c r="Q217" s="19">
        <f t="shared" si="20"/>
        <v>1498.6312704755487</v>
      </c>
      <c r="R217" s="20">
        <v>4.9328133742905698E-2</v>
      </c>
      <c r="S217" s="29">
        <f t="shared" si="17"/>
        <v>73.924683741318546</v>
      </c>
      <c r="T217" s="20">
        <f t="shared" si="18"/>
        <v>1424.7065867342301</v>
      </c>
      <c r="U217" s="21">
        <v>7.2651802700502497</v>
      </c>
      <c r="V217" s="31">
        <f t="shared" si="19"/>
        <v>1431.9717670042803</v>
      </c>
    </row>
    <row r="218" spans="1:22" x14ac:dyDescent="0.3">
      <c r="A218" s="6" t="s">
        <v>1087</v>
      </c>
      <c r="B218" s="6">
        <f t="shared" si="16"/>
        <v>4</v>
      </c>
      <c r="C218" s="7">
        <v>41560</v>
      </c>
      <c r="D218" s="8" t="s">
        <v>78</v>
      </c>
      <c r="E218" s="8">
        <v>220561.91200740001</v>
      </c>
      <c r="F218" s="8" t="s">
        <v>79</v>
      </c>
      <c r="G218" s="8" t="s">
        <v>24</v>
      </c>
      <c r="H218" s="8" t="s">
        <v>25</v>
      </c>
      <c r="I218" s="8" t="s">
        <v>60</v>
      </c>
      <c r="J218" s="8" t="s">
        <v>1088</v>
      </c>
      <c r="K218" s="8" t="s">
        <v>28</v>
      </c>
      <c r="L218" s="8" t="s">
        <v>54</v>
      </c>
      <c r="M218" s="8" t="s">
        <v>30</v>
      </c>
      <c r="N218" s="26">
        <v>41561</v>
      </c>
      <c r="O218" s="14">
        <v>56.337697160018699</v>
      </c>
      <c r="P218" s="8">
        <v>26.600861341898899</v>
      </c>
      <c r="Q218" s="19">
        <f t="shared" si="20"/>
        <v>1498.6312704755487</v>
      </c>
      <c r="R218" s="20">
        <v>4.9328133742905698E-2</v>
      </c>
      <c r="S218" s="29">
        <f t="shared" si="17"/>
        <v>73.924683741318546</v>
      </c>
      <c r="T218" s="20">
        <f t="shared" si="18"/>
        <v>1424.7065867342301</v>
      </c>
      <c r="U218" s="21">
        <v>7.2651802700502497</v>
      </c>
      <c r="V218" s="31">
        <f t="shared" si="19"/>
        <v>1431.9717670042803</v>
      </c>
    </row>
    <row r="219" spans="1:22" x14ac:dyDescent="0.3">
      <c r="A219" s="6" t="s">
        <v>1089</v>
      </c>
      <c r="B219" s="6">
        <f t="shared" si="16"/>
        <v>4</v>
      </c>
      <c r="C219" s="7">
        <v>41560</v>
      </c>
      <c r="D219" s="8" t="s">
        <v>78</v>
      </c>
      <c r="E219" s="8">
        <v>220949.84471000699</v>
      </c>
      <c r="F219" s="8" t="s">
        <v>79</v>
      </c>
      <c r="G219" s="8" t="s">
        <v>24</v>
      </c>
      <c r="H219" s="8" t="s">
        <v>25</v>
      </c>
      <c r="I219" s="8" t="s">
        <v>60</v>
      </c>
      <c r="J219" s="8" t="s">
        <v>53</v>
      </c>
      <c r="K219" s="8" t="s">
        <v>33</v>
      </c>
      <c r="L219" s="8" t="s">
        <v>54</v>
      </c>
      <c r="M219" s="8" t="s">
        <v>30</v>
      </c>
      <c r="N219" s="26">
        <v>41560</v>
      </c>
      <c r="O219" s="14">
        <v>56.383081979194003</v>
      </c>
      <c r="P219" s="8">
        <v>26.603922694564599</v>
      </c>
      <c r="Q219" s="19">
        <f t="shared" si="20"/>
        <v>1500.0111542557756</v>
      </c>
      <c r="R219" s="20">
        <v>4.9311884071210801E-2</v>
      </c>
      <c r="S219" s="29">
        <f t="shared" si="17"/>
        <v>73.968376144183907</v>
      </c>
      <c r="T219" s="20">
        <f t="shared" si="18"/>
        <v>1426.0427781115918</v>
      </c>
      <c r="U219" s="21">
        <v>7.27044119302378</v>
      </c>
      <c r="V219" s="31">
        <f t="shared" si="19"/>
        <v>1433.3132193046156</v>
      </c>
    </row>
    <row r="220" spans="1:22" x14ac:dyDescent="0.3">
      <c r="A220" s="6" t="s">
        <v>1089</v>
      </c>
      <c r="B220" s="6">
        <f t="shared" si="16"/>
        <v>4</v>
      </c>
      <c r="C220" s="7">
        <v>41560</v>
      </c>
      <c r="D220" s="8" t="s">
        <v>78</v>
      </c>
      <c r="E220" s="8">
        <v>220949.84471000699</v>
      </c>
      <c r="F220" s="8" t="s">
        <v>79</v>
      </c>
      <c r="G220" s="8" t="s">
        <v>24</v>
      </c>
      <c r="H220" s="8" t="s">
        <v>25</v>
      </c>
      <c r="I220" s="8" t="s">
        <v>60</v>
      </c>
      <c r="J220" s="8" t="s">
        <v>53</v>
      </c>
      <c r="K220" s="8" t="s">
        <v>33</v>
      </c>
      <c r="L220" s="8" t="s">
        <v>54</v>
      </c>
      <c r="M220" s="8" t="s">
        <v>30</v>
      </c>
      <c r="N220" s="26">
        <v>41560</v>
      </c>
      <c r="O220" s="14">
        <v>56.383081979194003</v>
      </c>
      <c r="P220" s="8">
        <v>26.603922694564599</v>
      </c>
      <c r="Q220" s="19">
        <f t="shared" si="20"/>
        <v>1500.0111542557756</v>
      </c>
      <c r="R220" s="20">
        <v>4.9311884071210801E-2</v>
      </c>
      <c r="S220" s="29">
        <f t="shared" si="17"/>
        <v>73.968376144183907</v>
      </c>
      <c r="T220" s="20">
        <f t="shared" si="18"/>
        <v>1426.0427781115918</v>
      </c>
      <c r="U220" s="21">
        <v>7.27044119302378</v>
      </c>
      <c r="V220" s="31">
        <f t="shared" si="19"/>
        <v>1433.3132193046156</v>
      </c>
    </row>
    <row r="221" spans="1:22" x14ac:dyDescent="0.3">
      <c r="A221" s="6" t="s">
        <v>1089</v>
      </c>
      <c r="B221" s="6">
        <f t="shared" si="16"/>
        <v>4</v>
      </c>
      <c r="C221" s="7">
        <v>41560</v>
      </c>
      <c r="D221" s="8" t="s">
        <v>78</v>
      </c>
      <c r="E221" s="8">
        <v>220949.84471000699</v>
      </c>
      <c r="F221" s="8" t="s">
        <v>79</v>
      </c>
      <c r="G221" s="8" t="s">
        <v>24</v>
      </c>
      <c r="H221" s="8" t="s">
        <v>25</v>
      </c>
      <c r="I221" s="8" t="s">
        <v>60</v>
      </c>
      <c r="J221" s="8" t="s">
        <v>53</v>
      </c>
      <c r="K221" s="8" t="s">
        <v>33</v>
      </c>
      <c r="L221" s="8" t="s">
        <v>54</v>
      </c>
      <c r="M221" s="8" t="s">
        <v>30</v>
      </c>
      <c r="N221" s="26">
        <v>41560</v>
      </c>
      <c r="O221" s="14">
        <v>56.383081979194003</v>
      </c>
      <c r="P221" s="8">
        <v>26.603922694564599</v>
      </c>
      <c r="Q221" s="19">
        <f t="shared" si="20"/>
        <v>1500.0111542557756</v>
      </c>
      <c r="R221" s="20">
        <v>4.9311884071210801E-2</v>
      </c>
      <c r="S221" s="29">
        <f t="shared" si="17"/>
        <v>73.968376144183907</v>
      </c>
      <c r="T221" s="20">
        <f t="shared" si="18"/>
        <v>1426.0427781115918</v>
      </c>
      <c r="U221" s="21">
        <v>7.27044119302378</v>
      </c>
      <c r="V221" s="31">
        <f t="shared" si="19"/>
        <v>1433.3132193046156</v>
      </c>
    </row>
    <row r="222" spans="1:22" x14ac:dyDescent="0.3">
      <c r="A222" s="6" t="s">
        <v>738</v>
      </c>
      <c r="B222" s="6">
        <f t="shared" si="16"/>
        <v>4</v>
      </c>
      <c r="C222" s="7">
        <v>41567</v>
      </c>
      <c r="D222" s="8" t="s">
        <v>739</v>
      </c>
      <c r="E222" s="8">
        <v>291292</v>
      </c>
      <c r="F222" s="8" t="s">
        <v>740</v>
      </c>
      <c r="G222" s="8" t="s">
        <v>24</v>
      </c>
      <c r="H222" s="8" t="s">
        <v>74</v>
      </c>
      <c r="I222" s="8" t="s">
        <v>60</v>
      </c>
      <c r="J222" s="8" t="s">
        <v>193</v>
      </c>
      <c r="K222" s="8" t="s">
        <v>33</v>
      </c>
      <c r="L222" s="8" t="s">
        <v>34</v>
      </c>
      <c r="M222" s="8" t="s">
        <v>30</v>
      </c>
      <c r="N222" s="26">
        <v>41569</v>
      </c>
      <c r="O222" s="14">
        <v>2.6</v>
      </c>
      <c r="P222" s="8">
        <v>36</v>
      </c>
      <c r="Q222" s="19">
        <f t="shared" si="20"/>
        <v>93.600000000000009</v>
      </c>
      <c r="R222" s="20">
        <v>0</v>
      </c>
      <c r="S222" s="29">
        <f t="shared" si="17"/>
        <v>0</v>
      </c>
      <c r="T222" s="20">
        <f t="shared" si="18"/>
        <v>93.600000000000009</v>
      </c>
      <c r="U222" s="21">
        <v>2.4</v>
      </c>
      <c r="V222" s="31">
        <f t="shared" si="19"/>
        <v>96.000000000000014</v>
      </c>
    </row>
    <row r="223" spans="1:22" x14ac:dyDescent="0.3">
      <c r="A223" s="6" t="s">
        <v>741</v>
      </c>
      <c r="B223" s="6">
        <f t="shared" si="16"/>
        <v>4</v>
      </c>
      <c r="C223" s="7">
        <v>41567</v>
      </c>
      <c r="D223" s="8" t="s">
        <v>742</v>
      </c>
      <c r="E223" s="8">
        <v>2930</v>
      </c>
      <c r="F223" s="8" t="s">
        <v>743</v>
      </c>
      <c r="G223" s="8" t="s">
        <v>24</v>
      </c>
      <c r="H223" s="8" t="s">
        <v>298</v>
      </c>
      <c r="I223" s="8" t="s">
        <v>60</v>
      </c>
      <c r="J223" s="8" t="s">
        <v>394</v>
      </c>
      <c r="K223" s="8" t="s">
        <v>33</v>
      </c>
      <c r="L223" s="8" t="s">
        <v>54</v>
      </c>
      <c r="M223" s="8" t="s">
        <v>42</v>
      </c>
      <c r="N223" s="26">
        <v>41567</v>
      </c>
      <c r="O223" s="14">
        <v>2.61</v>
      </c>
      <c r="P223" s="8">
        <v>1</v>
      </c>
      <c r="Q223" s="19">
        <f t="shared" si="20"/>
        <v>2.61</v>
      </c>
      <c r="R223" s="20">
        <v>0.06</v>
      </c>
      <c r="S223" s="29">
        <f t="shared" si="17"/>
        <v>0.15659999999999999</v>
      </c>
      <c r="T223" s="20">
        <f t="shared" si="18"/>
        <v>2.4533999999999998</v>
      </c>
      <c r="U223" s="21">
        <v>0.5</v>
      </c>
      <c r="V223" s="31">
        <f t="shared" si="19"/>
        <v>2.9533999999999998</v>
      </c>
    </row>
    <row r="224" spans="1:22" x14ac:dyDescent="0.3">
      <c r="A224" s="6" t="s">
        <v>744</v>
      </c>
      <c r="B224" s="6">
        <f t="shared" si="16"/>
        <v>4</v>
      </c>
      <c r="C224" s="7">
        <v>41567</v>
      </c>
      <c r="D224" s="8" t="s">
        <v>745</v>
      </c>
      <c r="E224" s="8">
        <v>293294</v>
      </c>
      <c r="F224" s="8" t="s">
        <v>428</v>
      </c>
      <c r="G224" s="8" t="s">
        <v>24</v>
      </c>
      <c r="H224" s="8" t="s">
        <v>39</v>
      </c>
      <c r="I224" s="8" t="s">
        <v>26</v>
      </c>
      <c r="J224" s="8" t="s">
        <v>189</v>
      </c>
      <c r="K224" s="8" t="s">
        <v>33</v>
      </c>
      <c r="L224" s="8" t="s">
        <v>54</v>
      </c>
      <c r="M224" s="8" t="s">
        <v>30</v>
      </c>
      <c r="N224" s="26">
        <v>41568</v>
      </c>
      <c r="O224" s="14">
        <v>5.98</v>
      </c>
      <c r="P224" s="8">
        <v>21</v>
      </c>
      <c r="Q224" s="19">
        <f t="shared" si="20"/>
        <v>125.58000000000001</v>
      </c>
      <c r="R224" s="20">
        <v>0.02</v>
      </c>
      <c r="S224" s="29">
        <f t="shared" si="17"/>
        <v>2.5116000000000005</v>
      </c>
      <c r="T224" s="20">
        <f t="shared" si="18"/>
        <v>123.06840000000001</v>
      </c>
      <c r="U224" s="21">
        <v>1.49</v>
      </c>
      <c r="V224" s="31">
        <f t="shared" si="19"/>
        <v>124.55840000000001</v>
      </c>
    </row>
    <row r="225" spans="1:22" x14ac:dyDescent="0.3">
      <c r="A225" s="6" t="s">
        <v>746</v>
      </c>
      <c r="B225" s="6">
        <f t="shared" si="16"/>
        <v>4</v>
      </c>
      <c r="C225" s="7">
        <v>41568</v>
      </c>
      <c r="D225" s="8" t="s">
        <v>747</v>
      </c>
      <c r="E225" s="8">
        <v>295296</v>
      </c>
      <c r="F225" s="8" t="s">
        <v>144</v>
      </c>
      <c r="G225" s="8" t="s">
        <v>58</v>
      </c>
      <c r="H225" s="8" t="s">
        <v>39</v>
      </c>
      <c r="I225" s="8" t="s">
        <v>49</v>
      </c>
      <c r="J225" s="8" t="s">
        <v>189</v>
      </c>
      <c r="K225" s="8" t="s">
        <v>33</v>
      </c>
      <c r="L225" s="8" t="s">
        <v>54</v>
      </c>
      <c r="M225" s="8" t="s">
        <v>30</v>
      </c>
      <c r="N225" s="26">
        <v>41570</v>
      </c>
      <c r="O225" s="14">
        <v>5.98</v>
      </c>
      <c r="P225" s="8">
        <v>40</v>
      </c>
      <c r="Q225" s="19">
        <f t="shared" si="20"/>
        <v>239.20000000000002</v>
      </c>
      <c r="R225" s="20">
        <v>0</v>
      </c>
      <c r="S225" s="29">
        <f t="shared" si="17"/>
        <v>0</v>
      </c>
      <c r="T225" s="20">
        <f t="shared" si="18"/>
        <v>239.20000000000002</v>
      </c>
      <c r="U225" s="21">
        <v>1.49</v>
      </c>
      <c r="V225" s="31">
        <f t="shared" si="19"/>
        <v>240.69000000000003</v>
      </c>
    </row>
    <row r="226" spans="1:22" x14ac:dyDescent="0.3">
      <c r="A226" s="6" t="s">
        <v>748</v>
      </c>
      <c r="B226" s="6">
        <f t="shared" si="16"/>
        <v>4</v>
      </c>
      <c r="C226" s="7">
        <v>41568</v>
      </c>
      <c r="D226" s="8" t="s">
        <v>737</v>
      </c>
      <c r="E226" s="8">
        <v>29</v>
      </c>
      <c r="F226" s="8" t="s">
        <v>383</v>
      </c>
      <c r="G226" s="8" t="s">
        <v>38</v>
      </c>
      <c r="H226" s="8" t="s">
        <v>99</v>
      </c>
      <c r="I226" s="8" t="s">
        <v>49</v>
      </c>
      <c r="J226" s="8" t="s">
        <v>145</v>
      </c>
      <c r="K226" s="8" t="s">
        <v>33</v>
      </c>
      <c r="L226" s="8" t="s">
        <v>54</v>
      </c>
      <c r="M226" s="8" t="s">
        <v>30</v>
      </c>
      <c r="N226" s="26">
        <v>41570</v>
      </c>
      <c r="O226" s="14">
        <v>1.88</v>
      </c>
      <c r="P226" s="8">
        <v>33</v>
      </c>
      <c r="Q226" s="19">
        <f t="shared" si="20"/>
        <v>62.04</v>
      </c>
      <c r="R226" s="20">
        <v>7.0000000000000007E-2</v>
      </c>
      <c r="S226" s="29">
        <f t="shared" si="17"/>
        <v>4.3428000000000004</v>
      </c>
      <c r="T226" s="20">
        <f t="shared" si="18"/>
        <v>57.697199999999995</v>
      </c>
      <c r="U226" s="21">
        <v>1.49</v>
      </c>
      <c r="V226" s="31">
        <f t="shared" si="19"/>
        <v>59.187199999999997</v>
      </c>
    </row>
    <row r="227" spans="1:22" x14ac:dyDescent="0.3">
      <c r="A227" s="6" t="s">
        <v>749</v>
      </c>
      <c r="B227" s="6">
        <f t="shared" si="16"/>
        <v>4</v>
      </c>
      <c r="C227" s="7">
        <v>41571</v>
      </c>
      <c r="D227" s="8" t="s">
        <v>750</v>
      </c>
      <c r="E227" s="8">
        <v>297298</v>
      </c>
      <c r="F227" s="8" t="s">
        <v>356</v>
      </c>
      <c r="G227" s="8" t="s">
        <v>38</v>
      </c>
      <c r="H227" s="8" t="s">
        <v>59</v>
      </c>
      <c r="I227" s="8" t="s">
        <v>136</v>
      </c>
      <c r="J227" s="8" t="s">
        <v>119</v>
      </c>
      <c r="K227" s="8" t="s">
        <v>33</v>
      </c>
      <c r="L227" s="8" t="s">
        <v>54</v>
      </c>
      <c r="M227" s="8" t="s">
        <v>30</v>
      </c>
      <c r="N227" s="26">
        <v>41574</v>
      </c>
      <c r="O227" s="14">
        <v>7.3</v>
      </c>
      <c r="P227" s="8">
        <v>31</v>
      </c>
      <c r="Q227" s="19">
        <f t="shared" si="20"/>
        <v>226.29999999999998</v>
      </c>
      <c r="R227" s="20">
        <v>0.03</v>
      </c>
      <c r="S227" s="29">
        <f t="shared" si="17"/>
        <v>6.7889999999999988</v>
      </c>
      <c r="T227" s="20">
        <f t="shared" si="18"/>
        <v>219.511</v>
      </c>
      <c r="U227" s="21">
        <v>7.72</v>
      </c>
      <c r="V227" s="31">
        <f t="shared" si="19"/>
        <v>227.23099999999999</v>
      </c>
    </row>
    <row r="228" spans="1:22" x14ac:dyDescent="0.3">
      <c r="A228" s="6" t="s">
        <v>751</v>
      </c>
      <c r="B228" s="6">
        <f t="shared" si="16"/>
        <v>4</v>
      </c>
      <c r="C228" s="7">
        <v>41572</v>
      </c>
      <c r="D228" s="8" t="s">
        <v>752</v>
      </c>
      <c r="E228" s="8">
        <v>299300</v>
      </c>
      <c r="F228" s="8" t="s">
        <v>753</v>
      </c>
      <c r="G228" s="8" t="s">
        <v>38</v>
      </c>
      <c r="H228" s="8" t="s">
        <v>298</v>
      </c>
      <c r="I228" s="8" t="s">
        <v>136</v>
      </c>
      <c r="J228" s="8" t="s">
        <v>754</v>
      </c>
      <c r="K228" s="8" t="s">
        <v>33</v>
      </c>
      <c r="L228" s="8" t="s">
        <v>54</v>
      </c>
      <c r="M228" s="8" t="s">
        <v>30</v>
      </c>
      <c r="N228" s="26">
        <v>41574</v>
      </c>
      <c r="O228" s="14">
        <v>16.98</v>
      </c>
      <c r="P228" s="8">
        <v>27</v>
      </c>
      <c r="Q228" s="19">
        <f t="shared" si="20"/>
        <v>458.46000000000004</v>
      </c>
      <c r="R228" s="20">
        <v>0.1</v>
      </c>
      <c r="S228" s="29">
        <f t="shared" si="17"/>
        <v>45.846000000000004</v>
      </c>
      <c r="T228" s="20">
        <f t="shared" si="18"/>
        <v>412.61400000000003</v>
      </c>
      <c r="U228" s="21">
        <v>12.39</v>
      </c>
      <c r="V228" s="31">
        <f t="shared" si="19"/>
        <v>425.00400000000002</v>
      </c>
    </row>
    <row r="229" spans="1:22" x14ac:dyDescent="0.3">
      <c r="A229" s="6" t="s">
        <v>755</v>
      </c>
      <c r="B229" s="6">
        <f t="shared" si="16"/>
        <v>4</v>
      </c>
      <c r="C229" s="7">
        <v>41573</v>
      </c>
      <c r="D229" s="8" t="s">
        <v>756</v>
      </c>
      <c r="E229" s="8">
        <v>3</v>
      </c>
      <c r="F229" s="8" t="s">
        <v>757</v>
      </c>
      <c r="G229" s="8" t="s">
        <v>58</v>
      </c>
      <c r="H229" s="8" t="s">
        <v>59</v>
      </c>
      <c r="I229" s="8" t="s">
        <v>49</v>
      </c>
      <c r="J229" s="8" t="s">
        <v>53</v>
      </c>
      <c r="K229" s="8" t="s">
        <v>33</v>
      </c>
      <c r="L229" s="8" t="s">
        <v>54</v>
      </c>
      <c r="M229" s="8" t="s">
        <v>30</v>
      </c>
      <c r="N229" s="26">
        <v>41575</v>
      </c>
      <c r="O229" s="14">
        <v>5.4</v>
      </c>
      <c r="P229" s="8">
        <v>47</v>
      </c>
      <c r="Q229" s="19">
        <f t="shared" si="20"/>
        <v>253.8</v>
      </c>
      <c r="R229" s="20">
        <v>0.03</v>
      </c>
      <c r="S229" s="29">
        <f t="shared" si="17"/>
        <v>7.6139999999999999</v>
      </c>
      <c r="T229" s="20">
        <f t="shared" si="18"/>
        <v>246.18600000000001</v>
      </c>
      <c r="U229" s="21">
        <v>7.78</v>
      </c>
      <c r="V229" s="31">
        <f t="shared" si="19"/>
        <v>253.96600000000001</v>
      </c>
    </row>
    <row r="230" spans="1:22" x14ac:dyDescent="0.3">
      <c r="A230" s="6" t="s">
        <v>758</v>
      </c>
      <c r="B230" s="6">
        <f t="shared" si="16"/>
        <v>4</v>
      </c>
      <c r="C230" s="7">
        <v>41575</v>
      </c>
      <c r="D230" s="8" t="s">
        <v>759</v>
      </c>
      <c r="E230" s="8">
        <v>3</v>
      </c>
      <c r="F230" s="8" t="s">
        <v>73</v>
      </c>
      <c r="G230" s="8" t="s">
        <v>24</v>
      </c>
      <c r="H230" s="8" t="s">
        <v>48</v>
      </c>
      <c r="I230" s="8" t="s">
        <v>136</v>
      </c>
      <c r="J230" s="8" t="s">
        <v>27</v>
      </c>
      <c r="K230" s="8" t="s">
        <v>28</v>
      </c>
      <c r="L230" s="8" t="s">
        <v>29</v>
      </c>
      <c r="M230" s="8" t="s">
        <v>30</v>
      </c>
      <c r="N230" s="26">
        <v>41576</v>
      </c>
      <c r="O230" s="14">
        <v>8.1199999999999992</v>
      </c>
      <c r="P230" s="8">
        <v>37</v>
      </c>
      <c r="Q230" s="19">
        <f t="shared" si="20"/>
        <v>300.44</v>
      </c>
      <c r="R230" s="20">
        <v>0</v>
      </c>
      <c r="S230" s="29">
        <f t="shared" si="17"/>
        <v>0</v>
      </c>
      <c r="T230" s="20">
        <f t="shared" si="18"/>
        <v>300.44</v>
      </c>
      <c r="U230" s="21">
        <v>2.83</v>
      </c>
      <c r="V230" s="31">
        <f t="shared" si="19"/>
        <v>303.27</v>
      </c>
    </row>
    <row r="231" spans="1:22" x14ac:dyDescent="0.3">
      <c r="A231" s="6" t="s">
        <v>760</v>
      </c>
      <c r="B231" s="6">
        <f t="shared" si="16"/>
        <v>4</v>
      </c>
      <c r="C231" s="7">
        <v>41575</v>
      </c>
      <c r="D231" s="8" t="s">
        <v>330</v>
      </c>
      <c r="E231" s="8">
        <v>155156</v>
      </c>
      <c r="F231" s="8" t="s">
        <v>331</v>
      </c>
      <c r="G231" s="8" t="s">
        <v>24</v>
      </c>
      <c r="H231" s="8" t="s">
        <v>48</v>
      </c>
      <c r="I231" s="8" t="s">
        <v>136</v>
      </c>
      <c r="J231" s="8" t="s">
        <v>761</v>
      </c>
      <c r="K231" s="8" t="s">
        <v>33</v>
      </c>
      <c r="L231" s="8" t="s">
        <v>29</v>
      </c>
      <c r="M231" s="8" t="s">
        <v>42</v>
      </c>
      <c r="N231" s="26">
        <v>41576</v>
      </c>
      <c r="O231" s="14">
        <v>40.97</v>
      </c>
      <c r="P231" s="8">
        <v>11</v>
      </c>
      <c r="Q231" s="19">
        <f t="shared" si="20"/>
        <v>450.66999999999996</v>
      </c>
      <c r="R231" s="20">
        <v>0.03</v>
      </c>
      <c r="S231" s="29">
        <f t="shared" si="17"/>
        <v>13.520099999999998</v>
      </c>
      <c r="T231" s="20">
        <f t="shared" si="18"/>
        <v>437.14989999999995</v>
      </c>
      <c r="U231" s="21">
        <v>8.99</v>
      </c>
      <c r="V231" s="31">
        <f t="shared" si="19"/>
        <v>446.13989999999995</v>
      </c>
    </row>
    <row r="232" spans="1:22" x14ac:dyDescent="0.3">
      <c r="A232" s="6" t="s">
        <v>762</v>
      </c>
      <c r="B232" s="6">
        <f t="shared" si="16"/>
        <v>4</v>
      </c>
      <c r="C232" s="7">
        <v>41576</v>
      </c>
      <c r="D232" s="8" t="s">
        <v>763</v>
      </c>
      <c r="E232" s="8">
        <v>3</v>
      </c>
      <c r="F232" s="8" t="s">
        <v>764</v>
      </c>
      <c r="G232" s="8" t="s">
        <v>85</v>
      </c>
      <c r="H232" s="8" t="s">
        <v>118</v>
      </c>
      <c r="I232" s="8" t="s">
        <v>60</v>
      </c>
      <c r="J232" s="8" t="s">
        <v>610</v>
      </c>
      <c r="K232" s="8" t="s">
        <v>33</v>
      </c>
      <c r="L232" s="8" t="s">
        <v>54</v>
      </c>
      <c r="M232" s="8" t="s">
        <v>30</v>
      </c>
      <c r="N232" s="26">
        <v>41577</v>
      </c>
      <c r="O232" s="14">
        <v>3.08</v>
      </c>
      <c r="P232" s="8">
        <v>41</v>
      </c>
      <c r="Q232" s="19">
        <f t="shared" si="20"/>
        <v>126.28</v>
      </c>
      <c r="R232" s="20">
        <v>0.04</v>
      </c>
      <c r="S232" s="29">
        <f t="shared" si="17"/>
        <v>5.0512000000000006</v>
      </c>
      <c r="T232" s="20">
        <f t="shared" si="18"/>
        <v>121.22880000000001</v>
      </c>
      <c r="U232" s="21">
        <v>0.99</v>
      </c>
      <c r="V232" s="31">
        <f t="shared" si="19"/>
        <v>122.2188</v>
      </c>
    </row>
    <row r="233" spans="1:22" x14ac:dyDescent="0.3">
      <c r="A233" s="6" t="s">
        <v>765</v>
      </c>
      <c r="B233" s="6">
        <f t="shared" si="16"/>
        <v>4</v>
      </c>
      <c r="C233" s="7">
        <v>41579</v>
      </c>
      <c r="D233" s="8" t="s">
        <v>766</v>
      </c>
      <c r="E233" s="8">
        <v>30</v>
      </c>
      <c r="F233" s="8" t="s">
        <v>767</v>
      </c>
      <c r="G233" s="8" t="s">
        <v>58</v>
      </c>
      <c r="H233" s="8" t="s">
        <v>59</v>
      </c>
      <c r="I233" s="8" t="s">
        <v>60</v>
      </c>
      <c r="J233" s="8" t="s">
        <v>27</v>
      </c>
      <c r="K233" s="8" t="s">
        <v>28</v>
      </c>
      <c r="L233" s="8" t="s">
        <v>29</v>
      </c>
      <c r="M233" s="8" t="s">
        <v>30</v>
      </c>
      <c r="N233" s="26">
        <v>41580</v>
      </c>
      <c r="O233" s="14">
        <v>8.1199999999999992</v>
      </c>
      <c r="P233" s="8">
        <v>16</v>
      </c>
      <c r="Q233" s="19">
        <f t="shared" si="20"/>
        <v>129.91999999999999</v>
      </c>
      <c r="R233" s="20">
        <v>0.03</v>
      </c>
      <c r="S233" s="29">
        <f t="shared" si="17"/>
        <v>3.8975999999999993</v>
      </c>
      <c r="T233" s="20">
        <f t="shared" si="18"/>
        <v>126.02239999999999</v>
      </c>
      <c r="U233" s="21">
        <v>2.83</v>
      </c>
      <c r="V233" s="31">
        <f t="shared" si="19"/>
        <v>128.85239999999999</v>
      </c>
    </row>
    <row r="234" spans="1:22" x14ac:dyDescent="0.3">
      <c r="A234" s="6" t="s">
        <v>768</v>
      </c>
      <c r="B234" s="6">
        <f t="shared" si="16"/>
        <v>4</v>
      </c>
      <c r="C234" s="7">
        <v>41580</v>
      </c>
      <c r="D234" s="8" t="s">
        <v>550</v>
      </c>
      <c r="E234" s="8">
        <v>225226</v>
      </c>
      <c r="F234" s="8" t="s">
        <v>551</v>
      </c>
      <c r="G234" s="8" t="s">
        <v>85</v>
      </c>
      <c r="H234" s="8" t="s">
        <v>74</v>
      </c>
      <c r="I234" s="8" t="s">
        <v>26</v>
      </c>
      <c r="J234" s="8" t="s">
        <v>119</v>
      </c>
      <c r="K234" s="8" t="s">
        <v>33</v>
      </c>
      <c r="L234" s="8" t="s">
        <v>54</v>
      </c>
      <c r="M234" s="8" t="s">
        <v>30</v>
      </c>
      <c r="N234" s="26">
        <v>41581</v>
      </c>
      <c r="O234" s="14">
        <v>7.3</v>
      </c>
      <c r="P234" s="8">
        <v>45</v>
      </c>
      <c r="Q234" s="19">
        <f t="shared" si="20"/>
        <v>328.5</v>
      </c>
      <c r="R234" s="20">
        <v>0.04</v>
      </c>
      <c r="S234" s="29">
        <f t="shared" si="17"/>
        <v>13.14</v>
      </c>
      <c r="T234" s="20">
        <f t="shared" si="18"/>
        <v>315.36</v>
      </c>
      <c r="U234" s="21">
        <v>7.72</v>
      </c>
      <c r="V234" s="31">
        <f t="shared" si="19"/>
        <v>323.08000000000004</v>
      </c>
    </row>
    <row r="235" spans="1:22" x14ac:dyDescent="0.3">
      <c r="A235" s="6" t="s">
        <v>769</v>
      </c>
      <c r="B235" s="6">
        <f t="shared" si="16"/>
        <v>4</v>
      </c>
      <c r="C235" s="7">
        <v>41581</v>
      </c>
      <c r="D235" s="8" t="s">
        <v>770</v>
      </c>
      <c r="E235" s="8">
        <v>301302</v>
      </c>
      <c r="F235" s="8" t="s">
        <v>771</v>
      </c>
      <c r="G235" s="8" t="s">
        <v>24</v>
      </c>
      <c r="H235" s="8" t="s">
        <v>398</v>
      </c>
      <c r="I235" s="8" t="s">
        <v>60</v>
      </c>
      <c r="J235" s="8" t="s">
        <v>156</v>
      </c>
      <c r="K235" s="8" t="s">
        <v>33</v>
      </c>
      <c r="L235" s="8" t="s">
        <v>29</v>
      </c>
      <c r="M235" s="8" t="s">
        <v>30</v>
      </c>
      <c r="N235" s="26">
        <v>41581</v>
      </c>
      <c r="O235" s="14">
        <v>12.98</v>
      </c>
      <c r="P235" s="8">
        <v>40</v>
      </c>
      <c r="Q235" s="19">
        <f t="shared" si="20"/>
        <v>519.20000000000005</v>
      </c>
      <c r="R235" s="20">
        <v>0.05</v>
      </c>
      <c r="S235" s="29">
        <f t="shared" si="17"/>
        <v>25.960000000000004</v>
      </c>
      <c r="T235" s="20">
        <f t="shared" si="18"/>
        <v>493.24000000000007</v>
      </c>
      <c r="U235" s="21">
        <v>3.14</v>
      </c>
      <c r="V235" s="31">
        <f t="shared" si="19"/>
        <v>496.38000000000005</v>
      </c>
    </row>
    <row r="236" spans="1:22" x14ac:dyDescent="0.3">
      <c r="A236" s="6" t="s">
        <v>772</v>
      </c>
      <c r="B236" s="6">
        <f t="shared" si="16"/>
        <v>4</v>
      </c>
      <c r="C236" s="7">
        <v>41583</v>
      </c>
      <c r="D236" s="8" t="s">
        <v>773</v>
      </c>
      <c r="E236" s="8">
        <v>303304</v>
      </c>
      <c r="F236" s="8" t="s">
        <v>774</v>
      </c>
      <c r="G236" s="8" t="s">
        <v>24</v>
      </c>
      <c r="H236" s="8" t="s">
        <v>130</v>
      </c>
      <c r="I236" s="8" t="s">
        <v>49</v>
      </c>
      <c r="J236" s="8" t="s">
        <v>231</v>
      </c>
      <c r="K236" s="8" t="s">
        <v>33</v>
      </c>
      <c r="L236" s="8" t="s">
        <v>54</v>
      </c>
      <c r="M236" s="8" t="s">
        <v>30</v>
      </c>
      <c r="N236" s="26">
        <v>41585</v>
      </c>
      <c r="O236" s="14">
        <v>3.69</v>
      </c>
      <c r="P236" s="8">
        <v>42</v>
      </c>
      <c r="Q236" s="19">
        <f t="shared" si="20"/>
        <v>154.97999999999999</v>
      </c>
      <c r="R236" s="20">
        <v>0.04</v>
      </c>
      <c r="S236" s="29">
        <f t="shared" si="17"/>
        <v>6.1991999999999994</v>
      </c>
      <c r="T236" s="20">
        <f t="shared" si="18"/>
        <v>148.7808</v>
      </c>
      <c r="U236" s="21">
        <v>0.5</v>
      </c>
      <c r="V236" s="31">
        <f t="shared" si="19"/>
        <v>149.2808</v>
      </c>
    </row>
    <row r="237" spans="1:22" x14ac:dyDescent="0.3">
      <c r="A237" s="6" t="s">
        <v>775</v>
      </c>
      <c r="B237" s="6">
        <f t="shared" si="16"/>
        <v>4</v>
      </c>
      <c r="C237" s="7">
        <v>41583</v>
      </c>
      <c r="D237" s="8" t="s">
        <v>776</v>
      </c>
      <c r="E237" s="8">
        <v>305306</v>
      </c>
      <c r="F237" s="8" t="s">
        <v>215</v>
      </c>
      <c r="G237" s="8" t="s">
        <v>24</v>
      </c>
      <c r="H237" s="8" t="s">
        <v>39</v>
      </c>
      <c r="I237" s="8" t="s">
        <v>60</v>
      </c>
      <c r="J237" s="8" t="s">
        <v>236</v>
      </c>
      <c r="K237" s="8" t="s">
        <v>33</v>
      </c>
      <c r="L237" s="8" t="s">
        <v>34</v>
      </c>
      <c r="M237" s="8" t="s">
        <v>30</v>
      </c>
      <c r="N237" s="26">
        <v>41584</v>
      </c>
      <c r="O237" s="14">
        <v>9.85</v>
      </c>
      <c r="P237" s="8">
        <v>27</v>
      </c>
      <c r="Q237" s="19">
        <f t="shared" si="20"/>
        <v>265.95</v>
      </c>
      <c r="R237" s="20">
        <v>0.1</v>
      </c>
      <c r="S237" s="29">
        <f t="shared" si="17"/>
        <v>26.594999999999999</v>
      </c>
      <c r="T237" s="20">
        <f t="shared" si="18"/>
        <v>239.35499999999999</v>
      </c>
      <c r="U237" s="21">
        <v>4.82</v>
      </c>
      <c r="V237" s="31">
        <f t="shared" si="19"/>
        <v>244.17499999999998</v>
      </c>
    </row>
    <row r="238" spans="1:22" x14ac:dyDescent="0.3">
      <c r="A238" s="6" t="s">
        <v>777</v>
      </c>
      <c r="B238" s="6">
        <f t="shared" si="16"/>
        <v>4</v>
      </c>
      <c r="C238" s="7">
        <v>41585</v>
      </c>
      <c r="D238" s="8" t="s">
        <v>778</v>
      </c>
      <c r="E238" s="8">
        <v>307308</v>
      </c>
      <c r="F238" s="8" t="s">
        <v>370</v>
      </c>
      <c r="G238" s="8" t="s">
        <v>38</v>
      </c>
      <c r="H238" s="8" t="s">
        <v>130</v>
      </c>
      <c r="I238" s="8" t="s">
        <v>26</v>
      </c>
      <c r="J238" s="8" t="s">
        <v>458</v>
      </c>
      <c r="K238" s="8" t="s">
        <v>33</v>
      </c>
      <c r="L238" s="8" t="s">
        <v>34</v>
      </c>
      <c r="M238" s="8" t="s">
        <v>42</v>
      </c>
      <c r="N238" s="26">
        <v>41586</v>
      </c>
      <c r="O238" s="14">
        <v>7.08</v>
      </c>
      <c r="P238" s="8">
        <v>29</v>
      </c>
      <c r="Q238" s="19">
        <f t="shared" si="20"/>
        <v>205.32</v>
      </c>
      <c r="R238" s="20">
        <v>7.0000000000000007E-2</v>
      </c>
      <c r="S238" s="29">
        <f t="shared" si="17"/>
        <v>14.372400000000001</v>
      </c>
      <c r="T238" s="20">
        <f t="shared" si="18"/>
        <v>190.94759999999999</v>
      </c>
      <c r="U238" s="21">
        <v>2.35</v>
      </c>
      <c r="V238" s="31">
        <f t="shared" si="19"/>
        <v>193.29759999999999</v>
      </c>
    </row>
    <row r="239" spans="1:22" x14ac:dyDescent="0.3">
      <c r="A239" s="6" t="s">
        <v>779</v>
      </c>
      <c r="B239" s="6">
        <f t="shared" si="16"/>
        <v>4</v>
      </c>
      <c r="C239" s="7">
        <v>41587</v>
      </c>
      <c r="D239" s="8" t="s">
        <v>780</v>
      </c>
      <c r="E239" s="8">
        <v>309310</v>
      </c>
      <c r="F239" s="8" t="s">
        <v>247</v>
      </c>
      <c r="G239" s="8" t="s">
        <v>38</v>
      </c>
      <c r="H239" s="8" t="s">
        <v>48</v>
      </c>
      <c r="I239" s="8" t="s">
        <v>40</v>
      </c>
      <c r="J239" s="8" t="s">
        <v>41</v>
      </c>
      <c r="K239" s="8" t="s">
        <v>33</v>
      </c>
      <c r="L239" s="8" t="s">
        <v>34</v>
      </c>
      <c r="M239" s="8" t="s">
        <v>30</v>
      </c>
      <c r="N239" s="26">
        <v>41587</v>
      </c>
      <c r="O239" s="14">
        <v>5.18</v>
      </c>
      <c r="P239" s="8">
        <v>8</v>
      </c>
      <c r="Q239" s="19">
        <f t="shared" si="20"/>
        <v>41.44</v>
      </c>
      <c r="R239" s="20">
        <v>0.06</v>
      </c>
      <c r="S239" s="29">
        <f t="shared" si="17"/>
        <v>2.4863999999999997</v>
      </c>
      <c r="T239" s="20">
        <f t="shared" si="18"/>
        <v>38.953599999999994</v>
      </c>
      <c r="U239" s="21">
        <v>2.04</v>
      </c>
      <c r="V239" s="31">
        <f t="shared" si="19"/>
        <v>40.993599999999994</v>
      </c>
    </row>
    <row r="240" spans="1:22" x14ac:dyDescent="0.3">
      <c r="A240" s="6" t="s">
        <v>781</v>
      </c>
      <c r="B240" s="6">
        <f t="shared" si="16"/>
        <v>4</v>
      </c>
      <c r="C240" s="7">
        <v>41590</v>
      </c>
      <c r="D240" s="8" t="s">
        <v>782</v>
      </c>
      <c r="E240" s="8">
        <v>31</v>
      </c>
      <c r="F240" s="8" t="s">
        <v>783</v>
      </c>
      <c r="G240" s="8" t="s">
        <v>24</v>
      </c>
      <c r="H240" s="8" t="s">
        <v>74</v>
      </c>
      <c r="I240" s="8" t="s">
        <v>26</v>
      </c>
      <c r="J240" s="8" t="s">
        <v>175</v>
      </c>
      <c r="K240" s="8" t="s">
        <v>33</v>
      </c>
      <c r="L240" s="8" t="s">
        <v>54</v>
      </c>
      <c r="M240" s="8" t="s">
        <v>30</v>
      </c>
      <c r="N240" s="26">
        <v>41592</v>
      </c>
      <c r="O240" s="14">
        <v>5.53</v>
      </c>
      <c r="P240" s="8">
        <v>17</v>
      </c>
      <c r="Q240" s="19">
        <f t="shared" si="20"/>
        <v>94.01</v>
      </c>
      <c r="R240" s="20">
        <v>0.02</v>
      </c>
      <c r="S240" s="29">
        <f t="shared" si="17"/>
        <v>1.8802000000000001</v>
      </c>
      <c r="T240" s="20">
        <f t="shared" si="18"/>
        <v>92.129800000000003</v>
      </c>
      <c r="U240" s="21">
        <v>6.98</v>
      </c>
      <c r="V240" s="31">
        <f t="shared" si="19"/>
        <v>99.109800000000007</v>
      </c>
    </row>
    <row r="241" spans="1:22" x14ac:dyDescent="0.3">
      <c r="A241" s="6" t="s">
        <v>784</v>
      </c>
      <c r="B241" s="6">
        <f t="shared" si="16"/>
        <v>4</v>
      </c>
      <c r="C241" s="7">
        <v>41593</v>
      </c>
      <c r="D241" s="8" t="s">
        <v>685</v>
      </c>
      <c r="E241" s="8">
        <v>271272</v>
      </c>
      <c r="F241" s="8" t="s">
        <v>686</v>
      </c>
      <c r="G241" s="8" t="s">
        <v>58</v>
      </c>
      <c r="H241" s="8" t="s">
        <v>39</v>
      </c>
      <c r="I241" s="8" t="s">
        <v>49</v>
      </c>
      <c r="J241" s="8" t="s">
        <v>489</v>
      </c>
      <c r="K241" s="8" t="s">
        <v>33</v>
      </c>
      <c r="L241" s="8" t="s">
        <v>54</v>
      </c>
      <c r="M241" s="8" t="s">
        <v>30</v>
      </c>
      <c r="N241" s="26">
        <v>41595</v>
      </c>
      <c r="O241" s="14">
        <v>19.98</v>
      </c>
      <c r="P241" s="8">
        <v>47</v>
      </c>
      <c r="Q241" s="19">
        <f t="shared" si="20"/>
        <v>939.06000000000006</v>
      </c>
      <c r="R241" s="20">
        <v>0.04</v>
      </c>
      <c r="S241" s="29">
        <f t="shared" si="17"/>
        <v>37.562400000000004</v>
      </c>
      <c r="T241" s="20">
        <f t="shared" si="18"/>
        <v>901.49760000000003</v>
      </c>
      <c r="U241" s="21">
        <v>5.77</v>
      </c>
      <c r="V241" s="31">
        <f t="shared" si="19"/>
        <v>907.26760000000002</v>
      </c>
    </row>
    <row r="242" spans="1:22" x14ac:dyDescent="0.3">
      <c r="A242" s="6" t="s">
        <v>785</v>
      </c>
      <c r="B242" s="6">
        <f t="shared" si="16"/>
        <v>4</v>
      </c>
      <c r="C242" s="7">
        <v>41594</v>
      </c>
      <c r="D242" s="8" t="s">
        <v>406</v>
      </c>
      <c r="E242" s="8">
        <v>18</v>
      </c>
      <c r="F242" s="8" t="s">
        <v>407</v>
      </c>
      <c r="G242" s="8" t="s">
        <v>58</v>
      </c>
      <c r="H242" s="8" t="s">
        <v>298</v>
      </c>
      <c r="I242" s="8" t="s">
        <v>49</v>
      </c>
      <c r="J242" s="8" t="s">
        <v>253</v>
      </c>
      <c r="K242" s="8" t="s">
        <v>243</v>
      </c>
      <c r="L242" s="8" t="s">
        <v>29</v>
      </c>
      <c r="M242" s="8" t="s">
        <v>30</v>
      </c>
      <c r="N242" s="26">
        <v>41594</v>
      </c>
      <c r="O242" s="14">
        <v>12.22</v>
      </c>
      <c r="P242" s="8">
        <v>27</v>
      </c>
      <c r="Q242" s="19">
        <f t="shared" si="20"/>
        <v>329.94</v>
      </c>
      <c r="R242" s="20">
        <v>7.0000000000000007E-2</v>
      </c>
      <c r="S242" s="29">
        <f t="shared" si="17"/>
        <v>23.095800000000001</v>
      </c>
      <c r="T242" s="20">
        <f t="shared" si="18"/>
        <v>306.8442</v>
      </c>
      <c r="U242" s="21">
        <v>2.85</v>
      </c>
      <c r="V242" s="31">
        <f t="shared" si="19"/>
        <v>309.69420000000002</v>
      </c>
    </row>
    <row r="243" spans="1:22" x14ac:dyDescent="0.3">
      <c r="A243" s="6" t="s">
        <v>786</v>
      </c>
      <c r="B243" s="6">
        <f t="shared" si="16"/>
        <v>4</v>
      </c>
      <c r="C243" s="7">
        <v>41594</v>
      </c>
      <c r="D243" s="8" t="s">
        <v>787</v>
      </c>
      <c r="E243" s="8">
        <v>311312</v>
      </c>
      <c r="F243" s="8" t="s">
        <v>428</v>
      </c>
      <c r="G243" s="8" t="s">
        <v>24</v>
      </c>
      <c r="H243" s="8" t="s">
        <v>92</v>
      </c>
      <c r="I243" s="8" t="s">
        <v>60</v>
      </c>
      <c r="J243" s="8" t="s">
        <v>238</v>
      </c>
      <c r="K243" s="8" t="s">
        <v>33</v>
      </c>
      <c r="L243" s="8" t="s">
        <v>34</v>
      </c>
      <c r="M243" s="8" t="s">
        <v>30</v>
      </c>
      <c r="N243" s="26">
        <v>41595</v>
      </c>
      <c r="O243" s="14">
        <v>2.94</v>
      </c>
      <c r="P243" s="8">
        <v>23</v>
      </c>
      <c r="Q243" s="19">
        <f t="shared" si="20"/>
        <v>67.62</v>
      </c>
      <c r="R243" s="20">
        <v>7.0000000000000007E-2</v>
      </c>
      <c r="S243" s="29">
        <f t="shared" si="17"/>
        <v>4.7334000000000005</v>
      </c>
      <c r="T243" s="20">
        <f t="shared" si="18"/>
        <v>62.886600000000001</v>
      </c>
      <c r="U243" s="21">
        <v>0.81</v>
      </c>
      <c r="V243" s="31">
        <f t="shared" si="19"/>
        <v>63.696600000000004</v>
      </c>
    </row>
    <row r="244" spans="1:22" x14ac:dyDescent="0.3">
      <c r="A244" s="6" t="s">
        <v>788</v>
      </c>
      <c r="B244" s="6">
        <f t="shared" si="16"/>
        <v>4</v>
      </c>
      <c r="C244" s="7">
        <v>41595</v>
      </c>
      <c r="D244" s="8" t="s">
        <v>789</v>
      </c>
      <c r="E244" s="8">
        <v>3132</v>
      </c>
      <c r="F244" s="8" t="s">
        <v>144</v>
      </c>
      <c r="G244" s="8" t="s">
        <v>58</v>
      </c>
      <c r="H244" s="8" t="s">
        <v>298</v>
      </c>
      <c r="I244" s="8" t="s">
        <v>60</v>
      </c>
      <c r="J244" s="8" t="s">
        <v>261</v>
      </c>
      <c r="K244" s="8" t="s">
        <v>28</v>
      </c>
      <c r="L244" s="8" t="s">
        <v>54</v>
      </c>
      <c r="M244" s="8" t="s">
        <v>42</v>
      </c>
      <c r="N244" s="26">
        <v>41597</v>
      </c>
      <c r="O244" s="14">
        <v>152.47999999999999</v>
      </c>
      <c r="P244" s="8">
        <v>2</v>
      </c>
      <c r="Q244" s="19">
        <f t="shared" si="20"/>
        <v>304.95999999999998</v>
      </c>
      <c r="R244" s="20">
        <v>0.02</v>
      </c>
      <c r="S244" s="29">
        <f t="shared" si="17"/>
        <v>6.0991999999999997</v>
      </c>
      <c r="T244" s="20">
        <f t="shared" si="18"/>
        <v>298.86079999999998</v>
      </c>
      <c r="U244" s="21">
        <v>6.5</v>
      </c>
      <c r="V244" s="31">
        <f t="shared" si="19"/>
        <v>305.36079999999998</v>
      </c>
    </row>
    <row r="245" spans="1:22" x14ac:dyDescent="0.3">
      <c r="A245" s="6" t="s">
        <v>790</v>
      </c>
      <c r="B245" s="6">
        <f t="shared" si="16"/>
        <v>4</v>
      </c>
      <c r="C245" s="7">
        <v>41595</v>
      </c>
      <c r="D245" s="8" t="s">
        <v>791</v>
      </c>
      <c r="E245" s="8">
        <v>313314</v>
      </c>
      <c r="F245" s="8" t="s">
        <v>495</v>
      </c>
      <c r="G245" s="8" t="s">
        <v>85</v>
      </c>
      <c r="H245" s="8" t="s">
        <v>48</v>
      </c>
      <c r="I245" s="8" t="s">
        <v>60</v>
      </c>
      <c r="J245" s="8" t="s">
        <v>792</v>
      </c>
      <c r="K245" s="8" t="s">
        <v>33</v>
      </c>
      <c r="L245" s="8" t="s">
        <v>29</v>
      </c>
      <c r="M245" s="8" t="s">
        <v>30</v>
      </c>
      <c r="N245" s="26">
        <v>41596</v>
      </c>
      <c r="O245" s="14">
        <v>8.57</v>
      </c>
      <c r="P245" s="8">
        <v>24</v>
      </c>
      <c r="Q245" s="19">
        <f t="shared" si="20"/>
        <v>205.68</v>
      </c>
      <c r="R245" s="20">
        <v>0.06</v>
      </c>
      <c r="S245" s="29">
        <f t="shared" si="17"/>
        <v>12.3408</v>
      </c>
      <c r="T245" s="20">
        <f t="shared" si="18"/>
        <v>193.33920000000001</v>
      </c>
      <c r="U245" s="21">
        <v>6.14</v>
      </c>
      <c r="V245" s="31">
        <f t="shared" si="19"/>
        <v>199.47919999999999</v>
      </c>
    </row>
    <row r="246" spans="1:22" x14ac:dyDescent="0.3">
      <c r="A246" s="6" t="s">
        <v>793</v>
      </c>
      <c r="B246" s="6">
        <f t="shared" si="16"/>
        <v>4</v>
      </c>
      <c r="C246" s="7">
        <v>41595</v>
      </c>
      <c r="D246" s="8" t="s">
        <v>794</v>
      </c>
      <c r="E246" s="8">
        <v>315316</v>
      </c>
      <c r="F246" s="8" t="s">
        <v>455</v>
      </c>
      <c r="G246" s="8" t="s">
        <v>24</v>
      </c>
      <c r="H246" s="8" t="s">
        <v>48</v>
      </c>
      <c r="I246" s="8" t="s">
        <v>136</v>
      </c>
      <c r="J246" s="8" t="s">
        <v>75</v>
      </c>
      <c r="K246" s="8" t="s">
        <v>33</v>
      </c>
      <c r="L246" s="8" t="s">
        <v>54</v>
      </c>
      <c r="M246" s="8" t="s">
        <v>30</v>
      </c>
      <c r="N246" s="26">
        <v>41595</v>
      </c>
      <c r="O246" s="14">
        <v>3.89</v>
      </c>
      <c r="P246" s="8">
        <v>47</v>
      </c>
      <c r="Q246" s="19">
        <f t="shared" si="20"/>
        <v>182.83</v>
      </c>
      <c r="R246" s="20">
        <v>0</v>
      </c>
      <c r="S246" s="29">
        <f t="shared" si="17"/>
        <v>0</v>
      </c>
      <c r="T246" s="20">
        <f t="shared" si="18"/>
        <v>182.83</v>
      </c>
      <c r="U246" s="21">
        <v>7.01</v>
      </c>
      <c r="V246" s="31">
        <f t="shared" si="19"/>
        <v>189.84</v>
      </c>
    </row>
    <row r="247" spans="1:22" x14ac:dyDescent="0.3">
      <c r="A247" s="6" t="s">
        <v>795</v>
      </c>
      <c r="B247" s="6">
        <f t="shared" si="16"/>
        <v>4</v>
      </c>
      <c r="C247" s="7">
        <v>41596</v>
      </c>
      <c r="D247" s="8" t="s">
        <v>796</v>
      </c>
      <c r="E247" s="8">
        <v>317318</v>
      </c>
      <c r="F247" s="8" t="s">
        <v>155</v>
      </c>
      <c r="G247" s="8" t="s">
        <v>38</v>
      </c>
      <c r="H247" s="8" t="s">
        <v>288</v>
      </c>
      <c r="I247" s="8" t="s">
        <v>40</v>
      </c>
      <c r="J247" s="8" t="s">
        <v>132</v>
      </c>
      <c r="K247" s="8" t="s">
        <v>33</v>
      </c>
      <c r="L247" s="8" t="s">
        <v>34</v>
      </c>
      <c r="M247" s="8" t="s">
        <v>30</v>
      </c>
      <c r="N247" s="26">
        <v>41598</v>
      </c>
      <c r="O247" s="14">
        <v>2.62</v>
      </c>
      <c r="P247" s="8">
        <v>26</v>
      </c>
      <c r="Q247" s="19">
        <f t="shared" si="20"/>
        <v>68.12</v>
      </c>
      <c r="R247" s="20">
        <v>0.09</v>
      </c>
      <c r="S247" s="29">
        <f t="shared" si="17"/>
        <v>6.1307999999999998</v>
      </c>
      <c r="T247" s="20">
        <f t="shared" si="18"/>
        <v>61.989200000000004</v>
      </c>
      <c r="U247" s="21">
        <v>0.8</v>
      </c>
      <c r="V247" s="31">
        <f t="shared" si="19"/>
        <v>62.789200000000001</v>
      </c>
    </row>
    <row r="248" spans="1:22" x14ac:dyDescent="0.3">
      <c r="A248" s="6" t="s">
        <v>797</v>
      </c>
      <c r="B248" s="6">
        <f t="shared" si="16"/>
        <v>4</v>
      </c>
      <c r="C248" s="7">
        <v>41596</v>
      </c>
      <c r="D248" s="8" t="s">
        <v>385</v>
      </c>
      <c r="E248" s="8">
        <v>171172</v>
      </c>
      <c r="F248" s="8" t="s">
        <v>386</v>
      </c>
      <c r="G248" s="8" t="s">
        <v>24</v>
      </c>
      <c r="H248" s="8" t="s">
        <v>59</v>
      </c>
      <c r="I248" s="8" t="s">
        <v>136</v>
      </c>
      <c r="J248" s="8" t="s">
        <v>573</v>
      </c>
      <c r="K248" s="8" t="s">
        <v>33</v>
      </c>
      <c r="L248" s="8" t="s">
        <v>54</v>
      </c>
      <c r="M248" s="8" t="s">
        <v>30</v>
      </c>
      <c r="N248" s="26">
        <v>41598</v>
      </c>
      <c r="O248" s="14">
        <v>35.94</v>
      </c>
      <c r="P248" s="8">
        <v>19</v>
      </c>
      <c r="Q248" s="19">
        <f t="shared" si="20"/>
        <v>682.8599999999999</v>
      </c>
      <c r="R248" s="20">
        <v>0.09</v>
      </c>
      <c r="S248" s="29">
        <f t="shared" si="17"/>
        <v>61.457399999999986</v>
      </c>
      <c r="T248" s="20">
        <f t="shared" si="18"/>
        <v>621.40259999999989</v>
      </c>
      <c r="U248" s="21">
        <v>6.66</v>
      </c>
      <c r="V248" s="31">
        <f t="shared" si="19"/>
        <v>628.06259999999986</v>
      </c>
    </row>
    <row r="249" spans="1:22" x14ac:dyDescent="0.3">
      <c r="A249" s="6" t="s">
        <v>798</v>
      </c>
      <c r="B249" s="6">
        <f t="shared" si="16"/>
        <v>4</v>
      </c>
      <c r="C249" s="7">
        <v>41597</v>
      </c>
      <c r="D249" s="8" t="s">
        <v>616</v>
      </c>
      <c r="E249" s="8">
        <v>247248</v>
      </c>
      <c r="F249" s="8" t="s">
        <v>617</v>
      </c>
      <c r="G249" s="8" t="s">
        <v>24</v>
      </c>
      <c r="H249" s="8" t="s">
        <v>99</v>
      </c>
      <c r="I249" s="8" t="s">
        <v>26</v>
      </c>
      <c r="J249" s="8" t="s">
        <v>289</v>
      </c>
      <c r="K249" s="8" t="s">
        <v>33</v>
      </c>
      <c r="L249" s="8" t="s">
        <v>54</v>
      </c>
      <c r="M249" s="8" t="s">
        <v>30</v>
      </c>
      <c r="N249" s="26">
        <v>41599</v>
      </c>
      <c r="O249" s="14">
        <v>7.28</v>
      </c>
      <c r="P249" s="8">
        <v>3</v>
      </c>
      <c r="Q249" s="19">
        <f t="shared" si="20"/>
        <v>21.84</v>
      </c>
      <c r="R249" s="20">
        <v>0.01</v>
      </c>
      <c r="S249" s="29">
        <f t="shared" si="17"/>
        <v>0.21840000000000001</v>
      </c>
      <c r="T249" s="20">
        <f t="shared" si="18"/>
        <v>21.621600000000001</v>
      </c>
      <c r="U249" s="21">
        <v>11.15</v>
      </c>
      <c r="V249" s="31">
        <f t="shared" si="19"/>
        <v>32.771599999999999</v>
      </c>
    </row>
    <row r="250" spans="1:22" x14ac:dyDescent="0.3">
      <c r="A250" s="6" t="s">
        <v>799</v>
      </c>
      <c r="B250" s="6">
        <f t="shared" si="16"/>
        <v>4</v>
      </c>
      <c r="C250" s="7">
        <v>41598</v>
      </c>
      <c r="D250" s="8" t="s">
        <v>742</v>
      </c>
      <c r="E250" s="8">
        <v>2930</v>
      </c>
      <c r="F250" s="8" t="s">
        <v>743</v>
      </c>
      <c r="G250" s="8" t="s">
        <v>58</v>
      </c>
      <c r="H250" s="8" t="s">
        <v>298</v>
      </c>
      <c r="I250" s="8" t="s">
        <v>40</v>
      </c>
      <c r="J250" s="8" t="s">
        <v>614</v>
      </c>
      <c r="K250" s="8" t="s">
        <v>28</v>
      </c>
      <c r="L250" s="8" t="s">
        <v>138</v>
      </c>
      <c r="M250" s="8" t="s">
        <v>139</v>
      </c>
      <c r="N250" s="26">
        <v>41605</v>
      </c>
      <c r="O250" s="14">
        <v>119.99</v>
      </c>
      <c r="P250" s="8">
        <v>4</v>
      </c>
      <c r="Q250" s="19">
        <f t="shared" si="20"/>
        <v>479.96</v>
      </c>
      <c r="R250" s="20">
        <v>0.06</v>
      </c>
      <c r="S250" s="29">
        <f t="shared" si="17"/>
        <v>28.797599999999999</v>
      </c>
      <c r="T250" s="20">
        <f t="shared" si="18"/>
        <v>451.16239999999999</v>
      </c>
      <c r="U250" s="21">
        <v>14</v>
      </c>
      <c r="V250" s="31">
        <f t="shared" si="19"/>
        <v>465.16239999999999</v>
      </c>
    </row>
    <row r="251" spans="1:22" x14ac:dyDescent="0.3">
      <c r="A251" s="6" t="s">
        <v>800</v>
      </c>
      <c r="B251" s="6">
        <f t="shared" si="16"/>
        <v>4</v>
      </c>
      <c r="C251" s="7">
        <v>41598</v>
      </c>
      <c r="D251" s="8" t="s">
        <v>759</v>
      </c>
      <c r="E251" s="8">
        <v>3</v>
      </c>
      <c r="F251" s="8" t="s">
        <v>73</v>
      </c>
      <c r="G251" s="8" t="s">
        <v>24</v>
      </c>
      <c r="H251" s="8" t="s">
        <v>48</v>
      </c>
      <c r="I251" s="8" t="s">
        <v>49</v>
      </c>
      <c r="J251" s="8" t="s">
        <v>32</v>
      </c>
      <c r="K251" s="8" t="s">
        <v>33</v>
      </c>
      <c r="L251" s="8" t="s">
        <v>34</v>
      </c>
      <c r="M251" s="8" t="s">
        <v>30</v>
      </c>
      <c r="N251" s="26">
        <v>41599</v>
      </c>
      <c r="O251" s="14">
        <v>6.68</v>
      </c>
      <c r="P251" s="8">
        <v>15</v>
      </c>
      <c r="Q251" s="19">
        <f t="shared" si="20"/>
        <v>100.19999999999999</v>
      </c>
      <c r="R251" s="20">
        <v>0.03</v>
      </c>
      <c r="S251" s="29">
        <f t="shared" si="17"/>
        <v>3.0059999999999993</v>
      </c>
      <c r="T251" s="20">
        <f t="shared" si="18"/>
        <v>97.193999999999988</v>
      </c>
      <c r="U251" s="21">
        <v>1.5</v>
      </c>
      <c r="V251" s="31">
        <f t="shared" si="19"/>
        <v>98.693999999999988</v>
      </c>
    </row>
    <row r="252" spans="1:22" x14ac:dyDescent="0.3">
      <c r="A252" s="6" t="s">
        <v>801</v>
      </c>
      <c r="B252" s="6">
        <f t="shared" si="16"/>
        <v>4</v>
      </c>
      <c r="C252" s="7">
        <v>41601</v>
      </c>
      <c r="D252" s="8" t="s">
        <v>802</v>
      </c>
      <c r="E252" s="8">
        <v>319320</v>
      </c>
      <c r="F252" s="8" t="s">
        <v>723</v>
      </c>
      <c r="G252" s="8" t="s">
        <v>58</v>
      </c>
      <c r="H252" s="8" t="s">
        <v>39</v>
      </c>
      <c r="I252" s="8" t="s">
        <v>49</v>
      </c>
      <c r="J252" s="8" t="s">
        <v>803</v>
      </c>
      <c r="K252" s="8" t="s">
        <v>243</v>
      </c>
      <c r="L252" s="8" t="s">
        <v>29</v>
      </c>
      <c r="M252" s="8" t="s">
        <v>30</v>
      </c>
      <c r="N252" s="26">
        <v>41602</v>
      </c>
      <c r="O252" s="14">
        <v>18.649999999999999</v>
      </c>
      <c r="P252" s="8">
        <v>19</v>
      </c>
      <c r="Q252" s="19">
        <f t="shared" si="20"/>
        <v>354.34999999999997</v>
      </c>
      <c r="R252" s="20">
        <v>7.0000000000000007E-2</v>
      </c>
      <c r="S252" s="29">
        <f t="shared" si="17"/>
        <v>24.804500000000001</v>
      </c>
      <c r="T252" s="20">
        <f t="shared" si="18"/>
        <v>329.54549999999995</v>
      </c>
      <c r="U252" s="21">
        <v>3.77</v>
      </c>
      <c r="V252" s="31">
        <f t="shared" si="19"/>
        <v>333.31549999999993</v>
      </c>
    </row>
    <row r="253" spans="1:22" x14ac:dyDescent="0.3">
      <c r="A253" s="6" t="s">
        <v>804</v>
      </c>
      <c r="B253" s="6">
        <f t="shared" si="16"/>
        <v>4</v>
      </c>
      <c r="C253" s="7">
        <v>41601</v>
      </c>
      <c r="D253" s="8" t="s">
        <v>805</v>
      </c>
      <c r="E253" s="8">
        <v>32</v>
      </c>
      <c r="F253" s="8" t="s">
        <v>806</v>
      </c>
      <c r="G253" s="8" t="s">
        <v>24</v>
      </c>
      <c r="H253" s="8" t="s">
        <v>39</v>
      </c>
      <c r="I253" s="8" t="s">
        <v>26</v>
      </c>
      <c r="J253" s="8" t="s">
        <v>638</v>
      </c>
      <c r="K253" s="8" t="s">
        <v>33</v>
      </c>
      <c r="L253" s="8" t="s">
        <v>54</v>
      </c>
      <c r="M253" s="8" t="s">
        <v>42</v>
      </c>
      <c r="N253" s="26">
        <v>41603</v>
      </c>
      <c r="O253" s="14">
        <v>5.74</v>
      </c>
      <c r="P253" s="8">
        <v>27</v>
      </c>
      <c r="Q253" s="19">
        <f t="shared" si="20"/>
        <v>154.98000000000002</v>
      </c>
      <c r="R253" s="20">
        <v>0.08</v>
      </c>
      <c r="S253" s="29">
        <f t="shared" si="17"/>
        <v>12.398400000000002</v>
      </c>
      <c r="T253" s="20">
        <f t="shared" si="18"/>
        <v>142.58160000000001</v>
      </c>
      <c r="U253" s="21">
        <v>5.01</v>
      </c>
      <c r="V253" s="31">
        <f t="shared" si="19"/>
        <v>147.5916</v>
      </c>
    </row>
    <row r="254" spans="1:22" x14ac:dyDescent="0.3">
      <c r="A254" s="6" t="s">
        <v>807</v>
      </c>
      <c r="B254" s="6">
        <f t="shared" si="16"/>
        <v>4</v>
      </c>
      <c r="C254" s="7">
        <v>41605</v>
      </c>
      <c r="D254" s="8" t="s">
        <v>808</v>
      </c>
      <c r="E254" s="8">
        <v>32</v>
      </c>
      <c r="F254" s="8" t="s">
        <v>809</v>
      </c>
      <c r="G254" s="8" t="s">
        <v>58</v>
      </c>
      <c r="H254" s="8" t="s">
        <v>74</v>
      </c>
      <c r="I254" s="8" t="s">
        <v>60</v>
      </c>
      <c r="J254" s="8" t="s">
        <v>367</v>
      </c>
      <c r="K254" s="8" t="s">
        <v>28</v>
      </c>
      <c r="L254" s="8" t="s">
        <v>54</v>
      </c>
      <c r="M254" s="8" t="s">
        <v>30</v>
      </c>
      <c r="N254" s="26">
        <v>41607</v>
      </c>
      <c r="O254" s="14">
        <v>159.99</v>
      </c>
      <c r="P254" s="8">
        <v>50</v>
      </c>
      <c r="Q254" s="19">
        <f t="shared" si="20"/>
        <v>7999.5</v>
      </c>
      <c r="R254" s="20">
        <v>0.05</v>
      </c>
      <c r="S254" s="29">
        <f t="shared" si="17"/>
        <v>399.97500000000002</v>
      </c>
      <c r="T254" s="20">
        <f t="shared" si="18"/>
        <v>7599.5249999999996</v>
      </c>
      <c r="U254" s="21">
        <v>5.5</v>
      </c>
      <c r="V254" s="31">
        <f t="shared" si="19"/>
        <v>7605.0249999999996</v>
      </c>
    </row>
    <row r="255" spans="1:22" x14ac:dyDescent="0.3">
      <c r="A255" s="6" t="s">
        <v>810</v>
      </c>
      <c r="B255" s="6">
        <f t="shared" si="16"/>
        <v>4</v>
      </c>
      <c r="C255" s="7">
        <v>41607</v>
      </c>
      <c r="D255" s="8" t="s">
        <v>811</v>
      </c>
      <c r="E255" s="8">
        <v>32</v>
      </c>
      <c r="F255" s="8" t="s">
        <v>812</v>
      </c>
      <c r="G255" s="8" t="s">
        <v>24</v>
      </c>
      <c r="H255" s="8" t="s">
        <v>298</v>
      </c>
      <c r="I255" s="8" t="s">
        <v>136</v>
      </c>
      <c r="J255" s="8" t="s">
        <v>614</v>
      </c>
      <c r="K255" s="8" t="s">
        <v>28</v>
      </c>
      <c r="L255" s="8" t="s">
        <v>138</v>
      </c>
      <c r="M255" s="8" t="s">
        <v>139</v>
      </c>
      <c r="N255" s="26">
        <v>41609</v>
      </c>
      <c r="O255" s="14">
        <v>119.99</v>
      </c>
      <c r="P255" s="8">
        <v>8</v>
      </c>
      <c r="Q255" s="19">
        <f t="shared" si="20"/>
        <v>959.92</v>
      </c>
      <c r="R255" s="20">
        <v>0.09</v>
      </c>
      <c r="S255" s="29">
        <f t="shared" si="17"/>
        <v>86.392799999999994</v>
      </c>
      <c r="T255" s="20">
        <f t="shared" si="18"/>
        <v>873.52719999999999</v>
      </c>
      <c r="U255" s="21">
        <v>14</v>
      </c>
      <c r="V255" s="31">
        <f t="shared" si="19"/>
        <v>887.52719999999999</v>
      </c>
    </row>
    <row r="256" spans="1:22" x14ac:dyDescent="0.3">
      <c r="A256" s="6" t="s">
        <v>813</v>
      </c>
      <c r="B256" s="6">
        <f t="shared" si="16"/>
        <v>4</v>
      </c>
      <c r="C256" s="7">
        <v>41613</v>
      </c>
      <c r="D256" s="8" t="s">
        <v>814</v>
      </c>
      <c r="E256" s="8">
        <v>321322</v>
      </c>
      <c r="F256" s="8" t="s">
        <v>815</v>
      </c>
      <c r="G256" s="8" t="s">
        <v>38</v>
      </c>
      <c r="H256" s="8" t="s">
        <v>48</v>
      </c>
      <c r="I256" s="8" t="s">
        <v>49</v>
      </c>
      <c r="J256" s="8" t="s">
        <v>761</v>
      </c>
      <c r="K256" s="8" t="s">
        <v>33</v>
      </c>
      <c r="L256" s="8" t="s">
        <v>29</v>
      </c>
      <c r="M256" s="8" t="s">
        <v>42</v>
      </c>
      <c r="N256" s="26">
        <v>41615</v>
      </c>
      <c r="O256" s="14">
        <v>40.97</v>
      </c>
      <c r="P256" s="8">
        <v>49</v>
      </c>
      <c r="Q256" s="19">
        <f t="shared" si="20"/>
        <v>2007.53</v>
      </c>
      <c r="R256" s="20">
        <v>0.09</v>
      </c>
      <c r="S256" s="29">
        <f t="shared" si="17"/>
        <v>180.67769999999999</v>
      </c>
      <c r="T256" s="20">
        <f t="shared" si="18"/>
        <v>1826.8523</v>
      </c>
      <c r="U256" s="21">
        <v>8.99</v>
      </c>
      <c r="V256" s="31">
        <f t="shared" si="19"/>
        <v>1835.8423</v>
      </c>
    </row>
    <row r="257" spans="1:22" x14ac:dyDescent="0.3">
      <c r="A257" s="6" t="s">
        <v>816</v>
      </c>
      <c r="B257" s="6">
        <f t="shared" si="16"/>
        <v>4</v>
      </c>
      <c r="C257" s="7">
        <v>41616</v>
      </c>
      <c r="D257" s="8" t="s">
        <v>817</v>
      </c>
      <c r="E257" s="8">
        <v>323324</v>
      </c>
      <c r="F257" s="8" t="s">
        <v>818</v>
      </c>
      <c r="G257" s="8" t="s">
        <v>85</v>
      </c>
      <c r="H257" s="8" t="s">
        <v>398</v>
      </c>
      <c r="I257" s="8" t="s">
        <v>40</v>
      </c>
      <c r="J257" s="8" t="s">
        <v>132</v>
      </c>
      <c r="K257" s="8" t="s">
        <v>33</v>
      </c>
      <c r="L257" s="8" t="s">
        <v>34</v>
      </c>
      <c r="M257" s="8" t="s">
        <v>30</v>
      </c>
      <c r="N257" s="26">
        <v>41623</v>
      </c>
      <c r="O257" s="14">
        <v>2.62</v>
      </c>
      <c r="P257" s="8">
        <v>47</v>
      </c>
      <c r="Q257" s="19">
        <f t="shared" si="20"/>
        <v>123.14</v>
      </c>
      <c r="R257" s="20">
        <v>0.1</v>
      </c>
      <c r="S257" s="29">
        <f t="shared" si="17"/>
        <v>12.314</v>
      </c>
      <c r="T257" s="20">
        <f t="shared" si="18"/>
        <v>110.82599999999999</v>
      </c>
      <c r="U257" s="21">
        <v>0.8</v>
      </c>
      <c r="V257" s="31">
        <f t="shared" si="19"/>
        <v>111.62599999999999</v>
      </c>
    </row>
    <row r="258" spans="1:22" x14ac:dyDescent="0.3">
      <c r="A258" s="6" t="s">
        <v>819</v>
      </c>
      <c r="B258" s="6">
        <f t="shared" si="16"/>
        <v>4</v>
      </c>
      <c r="C258" s="7">
        <v>41616</v>
      </c>
      <c r="D258" s="8" t="s">
        <v>820</v>
      </c>
      <c r="E258" s="8">
        <v>325326</v>
      </c>
      <c r="F258" s="8" t="s">
        <v>667</v>
      </c>
      <c r="G258" s="8" t="s">
        <v>85</v>
      </c>
      <c r="H258" s="8" t="s">
        <v>25</v>
      </c>
      <c r="I258" s="8" t="s">
        <v>26</v>
      </c>
      <c r="J258" s="8" t="s">
        <v>821</v>
      </c>
      <c r="K258" s="8" t="s">
        <v>33</v>
      </c>
      <c r="L258" s="8" t="s">
        <v>34</v>
      </c>
      <c r="M258" s="8" t="s">
        <v>30</v>
      </c>
      <c r="N258" s="26">
        <v>41616</v>
      </c>
      <c r="O258" s="14">
        <v>1.6</v>
      </c>
      <c r="P258" s="8">
        <v>25</v>
      </c>
      <c r="Q258" s="19">
        <f t="shared" si="20"/>
        <v>40</v>
      </c>
      <c r="R258" s="20">
        <v>0.1</v>
      </c>
      <c r="S258" s="29">
        <f t="shared" si="17"/>
        <v>4</v>
      </c>
      <c r="T258" s="20">
        <f t="shared" si="18"/>
        <v>36</v>
      </c>
      <c r="U258" s="21">
        <v>1.29</v>
      </c>
      <c r="V258" s="31">
        <f t="shared" si="19"/>
        <v>37.29</v>
      </c>
    </row>
    <row r="259" spans="1:22" x14ac:dyDescent="0.3">
      <c r="A259" s="6" t="s">
        <v>822</v>
      </c>
      <c r="B259" s="6">
        <f t="shared" ref="B259:B322" si="21">INT((MONTH(C259) +2)/3)</f>
        <v>4</v>
      </c>
      <c r="C259" s="7">
        <v>41617</v>
      </c>
      <c r="D259" s="8" t="s">
        <v>752</v>
      </c>
      <c r="E259" s="8">
        <v>299300</v>
      </c>
      <c r="F259" s="8" t="s">
        <v>753</v>
      </c>
      <c r="G259" s="8" t="s">
        <v>24</v>
      </c>
      <c r="H259" s="8" t="s">
        <v>298</v>
      </c>
      <c r="I259" s="8" t="s">
        <v>60</v>
      </c>
      <c r="J259" s="8" t="s">
        <v>181</v>
      </c>
      <c r="K259" s="8" t="s">
        <v>33</v>
      </c>
      <c r="L259" s="8" t="s">
        <v>34</v>
      </c>
      <c r="M259" s="8" t="s">
        <v>30</v>
      </c>
      <c r="N259" s="26">
        <v>41617</v>
      </c>
      <c r="O259" s="14">
        <v>1.26</v>
      </c>
      <c r="P259" s="8">
        <v>9</v>
      </c>
      <c r="Q259" s="19">
        <f t="shared" si="20"/>
        <v>11.34</v>
      </c>
      <c r="R259" s="20">
        <v>0.06</v>
      </c>
      <c r="S259" s="29">
        <f t="shared" ref="S259:S322" si="22">PRODUCT(Q259,R259)</f>
        <v>0.6804</v>
      </c>
      <c r="T259" s="20">
        <f t="shared" ref="T259:T322" si="23">SUM(Q259,-S259)</f>
        <v>10.659599999999999</v>
      </c>
      <c r="U259" s="21">
        <v>0.7</v>
      </c>
      <c r="V259" s="31">
        <f t="shared" ref="V259:V322" si="24">SUM(T259,U259)</f>
        <v>11.359599999999999</v>
      </c>
    </row>
    <row r="260" spans="1:22" x14ac:dyDescent="0.3">
      <c r="A260" s="6" t="s">
        <v>823</v>
      </c>
      <c r="B260" s="6">
        <f t="shared" si="21"/>
        <v>4</v>
      </c>
      <c r="C260" s="7">
        <v>41618</v>
      </c>
      <c r="D260" s="8" t="s">
        <v>598</v>
      </c>
      <c r="E260" s="8">
        <v>24</v>
      </c>
      <c r="F260" s="8" t="s">
        <v>599</v>
      </c>
      <c r="G260" s="8" t="s">
        <v>38</v>
      </c>
      <c r="H260" s="8" t="s">
        <v>39</v>
      </c>
      <c r="I260" s="8" t="s">
        <v>49</v>
      </c>
      <c r="J260" s="8" t="s">
        <v>189</v>
      </c>
      <c r="K260" s="8" t="s">
        <v>33</v>
      </c>
      <c r="L260" s="8" t="s">
        <v>54</v>
      </c>
      <c r="M260" s="8" t="s">
        <v>30</v>
      </c>
      <c r="N260" s="26">
        <v>41620</v>
      </c>
      <c r="O260" s="14">
        <v>5.98</v>
      </c>
      <c r="P260" s="8">
        <v>25</v>
      </c>
      <c r="Q260" s="19">
        <f t="shared" si="20"/>
        <v>149.5</v>
      </c>
      <c r="R260" s="20">
        <v>0.03</v>
      </c>
      <c r="S260" s="29">
        <f t="shared" si="22"/>
        <v>4.4849999999999994</v>
      </c>
      <c r="T260" s="20">
        <f t="shared" si="23"/>
        <v>145.01499999999999</v>
      </c>
      <c r="U260" s="21">
        <v>1.49</v>
      </c>
      <c r="V260" s="31">
        <f t="shared" si="24"/>
        <v>146.505</v>
      </c>
    </row>
    <row r="261" spans="1:22" x14ac:dyDescent="0.3">
      <c r="A261" s="6" t="s">
        <v>82</v>
      </c>
      <c r="B261" s="6">
        <f t="shared" si="21"/>
        <v>4</v>
      </c>
      <c r="C261" s="7">
        <v>41619</v>
      </c>
      <c r="D261" s="8" t="s">
        <v>83</v>
      </c>
      <c r="E261" s="8">
        <v>101102</v>
      </c>
      <c r="F261" s="8" t="s">
        <v>84</v>
      </c>
      <c r="G261" s="8" t="s">
        <v>85</v>
      </c>
      <c r="H261" s="8" t="s">
        <v>74</v>
      </c>
      <c r="I261" s="8" t="s">
        <v>40</v>
      </c>
      <c r="J261" s="8" t="s">
        <v>86</v>
      </c>
      <c r="K261" s="8" t="s">
        <v>33</v>
      </c>
      <c r="L261" s="8" t="s">
        <v>54</v>
      </c>
      <c r="M261" s="8" t="s">
        <v>30</v>
      </c>
      <c r="N261" s="26">
        <v>41621</v>
      </c>
      <c r="O261" s="14">
        <v>8.6</v>
      </c>
      <c r="P261" s="8">
        <v>6</v>
      </c>
      <c r="Q261" s="19">
        <f t="shared" si="20"/>
        <v>51.599999999999994</v>
      </c>
      <c r="R261" s="20">
        <v>0.04</v>
      </c>
      <c r="S261" s="29">
        <f t="shared" si="22"/>
        <v>2.0639999999999996</v>
      </c>
      <c r="T261" s="20">
        <f t="shared" si="23"/>
        <v>49.535999999999994</v>
      </c>
      <c r="U261" s="21">
        <v>6.19</v>
      </c>
      <c r="V261" s="31">
        <f t="shared" si="24"/>
        <v>55.725999999999992</v>
      </c>
    </row>
    <row r="262" spans="1:22" x14ac:dyDescent="0.3">
      <c r="A262" s="6" t="s">
        <v>87</v>
      </c>
      <c r="B262" s="6">
        <f t="shared" si="21"/>
        <v>4</v>
      </c>
      <c r="C262" s="7">
        <v>41619</v>
      </c>
      <c r="D262" s="8" t="s">
        <v>83</v>
      </c>
      <c r="E262" s="8">
        <v>101102</v>
      </c>
      <c r="F262" s="8" t="s">
        <v>84</v>
      </c>
      <c r="G262" s="8" t="s">
        <v>85</v>
      </c>
      <c r="H262" s="8" t="s">
        <v>74</v>
      </c>
      <c r="I262" s="8" t="s">
        <v>40</v>
      </c>
      <c r="J262" s="8" t="s">
        <v>88</v>
      </c>
      <c r="K262" s="8" t="s">
        <v>33</v>
      </c>
      <c r="L262" s="8" t="s">
        <v>34</v>
      </c>
      <c r="M262" s="8" t="s">
        <v>30</v>
      </c>
      <c r="N262" s="26">
        <v>41623</v>
      </c>
      <c r="O262" s="14">
        <v>3.58</v>
      </c>
      <c r="P262" s="8">
        <v>30</v>
      </c>
      <c r="Q262" s="19">
        <f t="shared" si="20"/>
        <v>107.4</v>
      </c>
      <c r="R262" s="20">
        <v>0.01</v>
      </c>
      <c r="S262" s="29">
        <f t="shared" si="22"/>
        <v>1.0740000000000001</v>
      </c>
      <c r="T262" s="20">
        <f t="shared" si="23"/>
        <v>106.32600000000001</v>
      </c>
      <c r="U262" s="21">
        <v>1.63</v>
      </c>
      <c r="V262" s="31">
        <f t="shared" si="24"/>
        <v>107.956</v>
      </c>
    </row>
    <row r="263" spans="1:22" x14ac:dyDescent="0.3">
      <c r="A263" s="6" t="s">
        <v>1090</v>
      </c>
      <c r="B263" s="6">
        <f t="shared" si="21"/>
        <v>4</v>
      </c>
      <c r="C263" s="7">
        <v>41619</v>
      </c>
      <c r="D263" s="8" t="s">
        <v>83</v>
      </c>
      <c r="E263" s="8">
        <v>221337.777412614</v>
      </c>
      <c r="F263" s="8" t="s">
        <v>84</v>
      </c>
      <c r="G263" s="8" t="s">
        <v>85</v>
      </c>
      <c r="H263" s="8" t="s">
        <v>74</v>
      </c>
      <c r="I263" s="8" t="s">
        <v>40</v>
      </c>
      <c r="J263" s="8" t="s">
        <v>86</v>
      </c>
      <c r="K263" s="8" t="s">
        <v>33</v>
      </c>
      <c r="L263" s="8" t="s">
        <v>54</v>
      </c>
      <c r="M263" s="8" t="s">
        <v>30</v>
      </c>
      <c r="N263" s="26">
        <v>41621</v>
      </c>
      <c r="O263" s="14">
        <v>56.4284667983693</v>
      </c>
      <c r="P263" s="8">
        <v>26.606984047230199</v>
      </c>
      <c r="Q263" s="19">
        <f t="shared" si="20"/>
        <v>1501.3913159138708</v>
      </c>
      <c r="R263" s="20">
        <v>4.92956343995158E-2</v>
      </c>
      <c r="S263" s="29">
        <f t="shared" si="22"/>
        <v>74.012037399898105</v>
      </c>
      <c r="T263" s="20">
        <f t="shared" si="23"/>
        <v>1427.3792785139726</v>
      </c>
      <c r="U263" s="21">
        <v>7.2757021159972997</v>
      </c>
      <c r="V263" s="31">
        <f t="shared" si="24"/>
        <v>1434.6549806299699</v>
      </c>
    </row>
    <row r="264" spans="1:22" x14ac:dyDescent="0.3">
      <c r="A264" s="6" t="s">
        <v>1090</v>
      </c>
      <c r="B264" s="6">
        <f t="shared" si="21"/>
        <v>4</v>
      </c>
      <c r="C264" s="7">
        <v>41619</v>
      </c>
      <c r="D264" s="8" t="s">
        <v>83</v>
      </c>
      <c r="E264" s="8">
        <v>221337.777412614</v>
      </c>
      <c r="F264" s="8" t="s">
        <v>84</v>
      </c>
      <c r="G264" s="8" t="s">
        <v>85</v>
      </c>
      <c r="H264" s="8" t="s">
        <v>74</v>
      </c>
      <c r="I264" s="8" t="s">
        <v>40</v>
      </c>
      <c r="J264" s="8" t="s">
        <v>86</v>
      </c>
      <c r="K264" s="8" t="s">
        <v>33</v>
      </c>
      <c r="L264" s="8" t="s">
        <v>54</v>
      </c>
      <c r="M264" s="8" t="s">
        <v>30</v>
      </c>
      <c r="N264" s="26">
        <v>41621</v>
      </c>
      <c r="O264" s="14">
        <v>56.4284667983693</v>
      </c>
      <c r="P264" s="8">
        <v>26.606984047230199</v>
      </c>
      <c r="Q264" s="19">
        <f t="shared" si="20"/>
        <v>1501.3913159138708</v>
      </c>
      <c r="R264" s="20">
        <v>4.92956343995158E-2</v>
      </c>
      <c r="S264" s="29">
        <f t="shared" si="22"/>
        <v>74.012037399898105</v>
      </c>
      <c r="T264" s="20">
        <f t="shared" si="23"/>
        <v>1427.3792785139726</v>
      </c>
      <c r="U264" s="21">
        <v>7.2757021159972997</v>
      </c>
      <c r="V264" s="31">
        <f t="shared" si="24"/>
        <v>1434.6549806299699</v>
      </c>
    </row>
    <row r="265" spans="1:22" x14ac:dyDescent="0.3">
      <c r="A265" s="6" t="s">
        <v>1090</v>
      </c>
      <c r="B265" s="6">
        <f t="shared" si="21"/>
        <v>4</v>
      </c>
      <c r="C265" s="7">
        <v>41619</v>
      </c>
      <c r="D265" s="8" t="s">
        <v>83</v>
      </c>
      <c r="E265" s="8">
        <v>221337.777412614</v>
      </c>
      <c r="F265" s="8" t="s">
        <v>84</v>
      </c>
      <c r="G265" s="8" t="s">
        <v>85</v>
      </c>
      <c r="H265" s="8" t="s">
        <v>74</v>
      </c>
      <c r="I265" s="8" t="s">
        <v>40</v>
      </c>
      <c r="J265" s="8" t="s">
        <v>86</v>
      </c>
      <c r="K265" s="8" t="s">
        <v>33</v>
      </c>
      <c r="L265" s="8" t="s">
        <v>54</v>
      </c>
      <c r="M265" s="8" t="s">
        <v>30</v>
      </c>
      <c r="N265" s="26">
        <v>41621</v>
      </c>
      <c r="O265" s="14">
        <v>56.4284667983693</v>
      </c>
      <c r="P265" s="8">
        <v>26.606984047230199</v>
      </c>
      <c r="Q265" s="19">
        <f t="shared" si="20"/>
        <v>1501.3913159138708</v>
      </c>
      <c r="R265" s="20">
        <v>4.92956343995158E-2</v>
      </c>
      <c r="S265" s="29">
        <f t="shared" si="22"/>
        <v>74.012037399898105</v>
      </c>
      <c r="T265" s="20">
        <f t="shared" si="23"/>
        <v>1427.3792785139726</v>
      </c>
      <c r="U265" s="21">
        <v>7.2757021159972997</v>
      </c>
      <c r="V265" s="31">
        <f t="shared" si="24"/>
        <v>1434.6549806299699</v>
      </c>
    </row>
    <row r="266" spans="1:22" x14ac:dyDescent="0.3">
      <c r="A266" s="6" t="s">
        <v>1091</v>
      </c>
      <c r="B266" s="6">
        <f t="shared" si="21"/>
        <v>4</v>
      </c>
      <c r="C266" s="7">
        <v>41619</v>
      </c>
      <c r="D266" s="8" t="s">
        <v>83</v>
      </c>
      <c r="E266" s="8">
        <v>221725.71011522101</v>
      </c>
      <c r="F266" s="8" t="s">
        <v>84</v>
      </c>
      <c r="G266" s="8" t="s">
        <v>85</v>
      </c>
      <c r="H266" s="8" t="s">
        <v>74</v>
      </c>
      <c r="I266" s="8" t="s">
        <v>40</v>
      </c>
      <c r="J266" s="8" t="s">
        <v>88</v>
      </c>
      <c r="K266" s="8" t="s">
        <v>33</v>
      </c>
      <c r="L266" s="8" t="s">
        <v>34</v>
      </c>
      <c r="M266" s="8" t="s">
        <v>30</v>
      </c>
      <c r="N266" s="26">
        <v>41623</v>
      </c>
      <c r="O266" s="14">
        <v>56.473851617544597</v>
      </c>
      <c r="P266" s="8">
        <v>26.610045399895899</v>
      </c>
      <c r="Q266" s="19">
        <f t="shared" si="20"/>
        <v>1502.7717554498461</v>
      </c>
      <c r="R266" s="20">
        <v>4.9279384727820799E-2</v>
      </c>
      <c r="S266" s="29">
        <f t="shared" si="22"/>
        <v>74.055667494915596</v>
      </c>
      <c r="T266" s="20">
        <f t="shared" si="23"/>
        <v>1428.7160879549306</v>
      </c>
      <c r="U266" s="21">
        <v>7.2809630389708202</v>
      </c>
      <c r="V266" s="31">
        <f t="shared" si="24"/>
        <v>1435.9970509939014</v>
      </c>
    </row>
    <row r="267" spans="1:22" x14ac:dyDescent="0.3">
      <c r="A267" s="6" t="s">
        <v>1091</v>
      </c>
      <c r="B267" s="6">
        <f t="shared" si="21"/>
        <v>4</v>
      </c>
      <c r="C267" s="7">
        <v>41619</v>
      </c>
      <c r="D267" s="8" t="s">
        <v>83</v>
      </c>
      <c r="E267" s="8">
        <v>221725.71011522101</v>
      </c>
      <c r="F267" s="8" t="s">
        <v>84</v>
      </c>
      <c r="G267" s="8" t="s">
        <v>85</v>
      </c>
      <c r="H267" s="8" t="s">
        <v>74</v>
      </c>
      <c r="I267" s="8" t="s">
        <v>40</v>
      </c>
      <c r="J267" s="8" t="s">
        <v>88</v>
      </c>
      <c r="K267" s="8" t="s">
        <v>33</v>
      </c>
      <c r="L267" s="8" t="s">
        <v>34</v>
      </c>
      <c r="M267" s="8" t="s">
        <v>30</v>
      </c>
      <c r="N267" s="26">
        <v>41623</v>
      </c>
      <c r="O267" s="14">
        <v>56.473851617544597</v>
      </c>
      <c r="P267" s="8">
        <v>26.610045399895899</v>
      </c>
      <c r="Q267" s="19">
        <f t="shared" si="20"/>
        <v>1502.7717554498461</v>
      </c>
      <c r="R267" s="20">
        <v>4.9279384727820799E-2</v>
      </c>
      <c r="S267" s="29">
        <f t="shared" si="22"/>
        <v>74.055667494915596</v>
      </c>
      <c r="T267" s="20">
        <f t="shared" si="23"/>
        <v>1428.7160879549306</v>
      </c>
      <c r="U267" s="21">
        <v>7.2809630389708202</v>
      </c>
      <c r="V267" s="31">
        <f t="shared" si="24"/>
        <v>1435.9970509939014</v>
      </c>
    </row>
    <row r="268" spans="1:22" x14ac:dyDescent="0.3">
      <c r="A268" s="6" t="s">
        <v>1091</v>
      </c>
      <c r="B268" s="6">
        <f t="shared" si="21"/>
        <v>4</v>
      </c>
      <c r="C268" s="7">
        <v>41619</v>
      </c>
      <c r="D268" s="8" t="s">
        <v>83</v>
      </c>
      <c r="E268" s="8">
        <v>221725.71011522101</v>
      </c>
      <c r="F268" s="8" t="s">
        <v>84</v>
      </c>
      <c r="G268" s="8" t="s">
        <v>85</v>
      </c>
      <c r="H268" s="8" t="s">
        <v>74</v>
      </c>
      <c r="I268" s="8" t="s">
        <v>40</v>
      </c>
      <c r="J268" s="8" t="s">
        <v>88</v>
      </c>
      <c r="K268" s="8" t="s">
        <v>33</v>
      </c>
      <c r="L268" s="8" t="s">
        <v>34</v>
      </c>
      <c r="M268" s="8" t="s">
        <v>30</v>
      </c>
      <c r="N268" s="26">
        <v>41623</v>
      </c>
      <c r="O268" s="14">
        <v>56.473851617544597</v>
      </c>
      <c r="P268" s="8">
        <v>26.610045399895899</v>
      </c>
      <c r="Q268" s="19">
        <f t="shared" si="20"/>
        <v>1502.7717554498461</v>
      </c>
      <c r="R268" s="20">
        <v>4.9279384727820799E-2</v>
      </c>
      <c r="S268" s="29">
        <f t="shared" si="22"/>
        <v>74.055667494915596</v>
      </c>
      <c r="T268" s="20">
        <f t="shared" si="23"/>
        <v>1428.7160879549306</v>
      </c>
      <c r="U268" s="21">
        <v>7.2809630389708202</v>
      </c>
      <c r="V268" s="31">
        <f t="shared" si="24"/>
        <v>1435.9970509939014</v>
      </c>
    </row>
    <row r="269" spans="1:22" x14ac:dyDescent="0.3">
      <c r="A269" s="6" t="s">
        <v>824</v>
      </c>
      <c r="B269" s="6">
        <f t="shared" si="21"/>
        <v>4</v>
      </c>
      <c r="C269" s="7">
        <v>41619</v>
      </c>
      <c r="D269" s="8" t="s">
        <v>185</v>
      </c>
      <c r="E269" s="8">
        <v>121122</v>
      </c>
      <c r="F269" s="8" t="s">
        <v>186</v>
      </c>
      <c r="G269" s="8" t="s">
        <v>24</v>
      </c>
      <c r="H269" s="8" t="s">
        <v>25</v>
      </c>
      <c r="I269" s="8" t="s">
        <v>40</v>
      </c>
      <c r="J269" s="8" t="s">
        <v>629</v>
      </c>
      <c r="K269" s="8" t="s">
        <v>33</v>
      </c>
      <c r="L269" s="8" t="s">
        <v>54</v>
      </c>
      <c r="M269" s="8" t="s">
        <v>30</v>
      </c>
      <c r="N269" s="26">
        <v>41623</v>
      </c>
      <c r="O269" s="14">
        <v>29.17</v>
      </c>
      <c r="P269" s="8">
        <v>16</v>
      </c>
      <c r="Q269" s="19">
        <f t="shared" si="20"/>
        <v>466.72</v>
      </c>
      <c r="R269" s="20">
        <v>7.0000000000000007E-2</v>
      </c>
      <c r="S269" s="29">
        <f t="shared" si="22"/>
        <v>32.670400000000008</v>
      </c>
      <c r="T269" s="20">
        <f t="shared" si="23"/>
        <v>434.0496</v>
      </c>
      <c r="U269" s="21">
        <v>6.27</v>
      </c>
      <c r="V269" s="31">
        <f t="shared" si="24"/>
        <v>440.31959999999998</v>
      </c>
    </row>
    <row r="270" spans="1:22" x14ac:dyDescent="0.3">
      <c r="A270" s="6" t="s">
        <v>825</v>
      </c>
      <c r="B270" s="6">
        <f t="shared" si="21"/>
        <v>4</v>
      </c>
      <c r="C270" s="7">
        <v>41621</v>
      </c>
      <c r="D270" s="8" t="s">
        <v>826</v>
      </c>
      <c r="E270" s="8">
        <v>327328</v>
      </c>
      <c r="F270" s="8" t="s">
        <v>743</v>
      </c>
      <c r="G270" s="8" t="s">
        <v>58</v>
      </c>
      <c r="H270" s="8" t="s">
        <v>130</v>
      </c>
      <c r="I270" s="8" t="s">
        <v>49</v>
      </c>
      <c r="J270" s="8" t="s">
        <v>827</v>
      </c>
      <c r="K270" s="8" t="s">
        <v>33</v>
      </c>
      <c r="L270" s="8" t="s">
        <v>54</v>
      </c>
      <c r="M270" s="8" t="s">
        <v>30</v>
      </c>
      <c r="N270" s="26">
        <v>41622</v>
      </c>
      <c r="O270" s="14">
        <v>5.77</v>
      </c>
      <c r="P270" s="8">
        <v>9</v>
      </c>
      <c r="Q270" s="19">
        <f t="shared" si="20"/>
        <v>51.929999999999993</v>
      </c>
      <c r="R270" s="20">
        <v>0</v>
      </c>
      <c r="S270" s="29">
        <f t="shared" si="22"/>
        <v>0</v>
      </c>
      <c r="T270" s="20">
        <f t="shared" si="23"/>
        <v>51.929999999999993</v>
      </c>
      <c r="U270" s="21">
        <v>4.97</v>
      </c>
      <c r="V270" s="31">
        <f t="shared" si="24"/>
        <v>56.899999999999991</v>
      </c>
    </row>
    <row r="271" spans="1:22" x14ac:dyDescent="0.3">
      <c r="A271" s="6" t="s">
        <v>828</v>
      </c>
      <c r="B271" s="6">
        <f t="shared" si="21"/>
        <v>4</v>
      </c>
      <c r="C271" s="7">
        <v>41621</v>
      </c>
      <c r="D271" s="8" t="s">
        <v>829</v>
      </c>
      <c r="E271" s="8">
        <v>329330</v>
      </c>
      <c r="F271" s="8" t="s">
        <v>686</v>
      </c>
      <c r="G271" s="8" t="s">
        <v>24</v>
      </c>
      <c r="H271" s="8" t="s">
        <v>298</v>
      </c>
      <c r="I271" s="8" t="s">
        <v>60</v>
      </c>
      <c r="J271" s="8" t="s">
        <v>830</v>
      </c>
      <c r="K271" s="8" t="s">
        <v>33</v>
      </c>
      <c r="L271" s="8" t="s">
        <v>34</v>
      </c>
      <c r="M271" s="8" t="s">
        <v>30</v>
      </c>
      <c r="N271" s="26">
        <v>41623</v>
      </c>
      <c r="O271" s="14">
        <v>3.26</v>
      </c>
      <c r="P271" s="8">
        <v>6</v>
      </c>
      <c r="Q271" s="19">
        <f t="shared" si="20"/>
        <v>19.559999999999999</v>
      </c>
      <c r="R271" s="20">
        <v>0.01</v>
      </c>
      <c r="S271" s="29">
        <f t="shared" si="22"/>
        <v>0.1956</v>
      </c>
      <c r="T271" s="20">
        <f t="shared" si="23"/>
        <v>19.3644</v>
      </c>
      <c r="U271" s="21">
        <v>1.86</v>
      </c>
      <c r="V271" s="31">
        <f t="shared" si="24"/>
        <v>21.224399999999999</v>
      </c>
    </row>
    <row r="272" spans="1:22" x14ac:dyDescent="0.3">
      <c r="A272" s="6" t="s">
        <v>831</v>
      </c>
      <c r="B272" s="6">
        <f t="shared" si="21"/>
        <v>4</v>
      </c>
      <c r="C272" s="7">
        <v>41624</v>
      </c>
      <c r="D272" s="8" t="s">
        <v>832</v>
      </c>
      <c r="E272" s="8">
        <v>33</v>
      </c>
      <c r="F272" s="8" t="s">
        <v>833</v>
      </c>
      <c r="G272" s="8" t="s">
        <v>38</v>
      </c>
      <c r="H272" s="8" t="s">
        <v>74</v>
      </c>
      <c r="I272" s="8" t="s">
        <v>60</v>
      </c>
      <c r="J272" s="8" t="s">
        <v>231</v>
      </c>
      <c r="K272" s="8" t="s">
        <v>33</v>
      </c>
      <c r="L272" s="8" t="s">
        <v>54</v>
      </c>
      <c r="M272" s="8" t="s">
        <v>30</v>
      </c>
      <c r="N272" s="26">
        <v>41627</v>
      </c>
      <c r="O272" s="14">
        <v>3.69</v>
      </c>
      <c r="P272" s="8">
        <v>45</v>
      </c>
      <c r="Q272" s="19">
        <f t="shared" si="20"/>
        <v>166.05</v>
      </c>
      <c r="R272" s="20">
        <v>0.08</v>
      </c>
      <c r="S272" s="29">
        <f t="shared" si="22"/>
        <v>13.284000000000001</v>
      </c>
      <c r="T272" s="20">
        <f t="shared" si="23"/>
        <v>152.76600000000002</v>
      </c>
      <c r="U272" s="21">
        <v>0.5</v>
      </c>
      <c r="V272" s="31">
        <f t="shared" si="24"/>
        <v>153.26600000000002</v>
      </c>
    </row>
    <row r="273" spans="1:22" x14ac:dyDescent="0.3">
      <c r="A273" s="6" t="s">
        <v>834</v>
      </c>
      <c r="B273" s="6">
        <f t="shared" si="21"/>
        <v>4</v>
      </c>
      <c r="C273" s="7">
        <v>41625</v>
      </c>
      <c r="D273" s="8" t="s">
        <v>835</v>
      </c>
      <c r="E273" s="8">
        <v>33</v>
      </c>
      <c r="F273" s="8" t="s">
        <v>836</v>
      </c>
      <c r="G273" s="8" t="s">
        <v>24</v>
      </c>
      <c r="H273" s="8" t="s">
        <v>59</v>
      </c>
      <c r="I273" s="8" t="s">
        <v>60</v>
      </c>
      <c r="J273" s="8" t="s">
        <v>86</v>
      </c>
      <c r="K273" s="8" t="s">
        <v>33</v>
      </c>
      <c r="L273" s="8" t="s">
        <v>54</v>
      </c>
      <c r="M273" s="8" t="s">
        <v>30</v>
      </c>
      <c r="N273" s="26">
        <v>41627</v>
      </c>
      <c r="O273" s="14">
        <v>8.6</v>
      </c>
      <c r="P273" s="8">
        <v>23</v>
      </c>
      <c r="Q273" s="19">
        <f t="shared" si="20"/>
        <v>197.79999999999998</v>
      </c>
      <c r="R273" s="20">
        <v>0.02</v>
      </c>
      <c r="S273" s="29">
        <f t="shared" si="22"/>
        <v>3.956</v>
      </c>
      <c r="T273" s="20">
        <f t="shared" si="23"/>
        <v>193.84399999999999</v>
      </c>
      <c r="U273" s="21">
        <v>6.19</v>
      </c>
      <c r="V273" s="31">
        <f t="shared" si="24"/>
        <v>200.03399999999999</v>
      </c>
    </row>
    <row r="274" spans="1:22" x14ac:dyDescent="0.3">
      <c r="A274" s="6" t="s">
        <v>837</v>
      </c>
      <c r="B274" s="6">
        <f t="shared" si="21"/>
        <v>4</v>
      </c>
      <c r="C274" s="7">
        <v>41627</v>
      </c>
      <c r="D274" s="8" t="s">
        <v>498</v>
      </c>
      <c r="E274" s="8">
        <v>209210</v>
      </c>
      <c r="F274" s="8" t="s">
        <v>499</v>
      </c>
      <c r="G274" s="8" t="s">
        <v>58</v>
      </c>
      <c r="H274" s="8" t="s">
        <v>74</v>
      </c>
      <c r="I274" s="8" t="s">
        <v>136</v>
      </c>
      <c r="J274" s="8" t="s">
        <v>195</v>
      </c>
      <c r="K274" s="8" t="s">
        <v>28</v>
      </c>
      <c r="L274" s="8" t="s">
        <v>54</v>
      </c>
      <c r="M274" s="8" t="s">
        <v>30</v>
      </c>
      <c r="N274" s="26">
        <v>41629</v>
      </c>
      <c r="O274" s="14">
        <v>80.98</v>
      </c>
      <c r="P274" s="8">
        <v>13</v>
      </c>
      <c r="Q274" s="19">
        <f t="shared" si="20"/>
        <v>1052.74</v>
      </c>
      <c r="R274" s="20">
        <v>0.03</v>
      </c>
      <c r="S274" s="29">
        <f t="shared" si="22"/>
        <v>31.5822</v>
      </c>
      <c r="T274" s="20">
        <f t="shared" si="23"/>
        <v>1021.1578</v>
      </c>
      <c r="U274" s="21">
        <v>7.18</v>
      </c>
      <c r="V274" s="31">
        <f t="shared" si="24"/>
        <v>1028.3378</v>
      </c>
    </row>
    <row r="275" spans="1:22" x14ac:dyDescent="0.3">
      <c r="A275" s="6" t="s">
        <v>838</v>
      </c>
      <c r="B275" s="6">
        <f t="shared" si="21"/>
        <v>4</v>
      </c>
      <c r="C275" s="7">
        <v>41631</v>
      </c>
      <c r="D275" s="8" t="s">
        <v>839</v>
      </c>
      <c r="E275" s="8">
        <v>331332</v>
      </c>
      <c r="F275" s="8" t="s">
        <v>840</v>
      </c>
      <c r="G275" s="8" t="s">
        <v>38</v>
      </c>
      <c r="H275" s="8" t="s">
        <v>99</v>
      </c>
      <c r="I275" s="8" t="s">
        <v>60</v>
      </c>
      <c r="J275" s="8" t="s">
        <v>261</v>
      </c>
      <c r="K275" s="8" t="s">
        <v>28</v>
      </c>
      <c r="L275" s="8" t="s">
        <v>54</v>
      </c>
      <c r="M275" s="8" t="s">
        <v>30</v>
      </c>
      <c r="N275" s="26">
        <v>41633</v>
      </c>
      <c r="O275" s="14">
        <v>152.47999999999999</v>
      </c>
      <c r="P275" s="8">
        <v>41</v>
      </c>
      <c r="Q275" s="19">
        <f t="shared" si="20"/>
        <v>6251.6799999999994</v>
      </c>
      <c r="R275" s="20">
        <v>7.0000000000000007E-2</v>
      </c>
      <c r="S275" s="29">
        <f t="shared" si="22"/>
        <v>437.61759999999998</v>
      </c>
      <c r="T275" s="20">
        <f t="shared" si="23"/>
        <v>5814.0623999999998</v>
      </c>
      <c r="U275" s="21">
        <v>6.5</v>
      </c>
      <c r="V275" s="31">
        <f t="shared" si="24"/>
        <v>5820.5623999999998</v>
      </c>
    </row>
    <row r="276" spans="1:22" x14ac:dyDescent="0.3">
      <c r="A276" s="6" t="s">
        <v>841</v>
      </c>
      <c r="B276" s="6">
        <f t="shared" si="21"/>
        <v>4</v>
      </c>
      <c r="C276" s="7">
        <v>41631</v>
      </c>
      <c r="D276" s="8" t="s">
        <v>842</v>
      </c>
      <c r="E276" s="8">
        <v>333334</v>
      </c>
      <c r="F276" s="8" t="s">
        <v>843</v>
      </c>
      <c r="G276" s="8" t="s">
        <v>85</v>
      </c>
      <c r="H276" s="8" t="s">
        <v>48</v>
      </c>
      <c r="I276" s="8" t="s">
        <v>26</v>
      </c>
      <c r="J276" s="8" t="s">
        <v>844</v>
      </c>
      <c r="K276" s="8" t="s">
        <v>33</v>
      </c>
      <c r="L276" s="8" t="s">
        <v>54</v>
      </c>
      <c r="M276" s="8" t="s">
        <v>30</v>
      </c>
      <c r="N276" s="26">
        <v>41631</v>
      </c>
      <c r="O276" s="14">
        <v>4.91</v>
      </c>
      <c r="P276" s="8">
        <v>12</v>
      </c>
      <c r="Q276" s="19">
        <f t="shared" si="20"/>
        <v>58.92</v>
      </c>
      <c r="R276" s="20">
        <v>0.04</v>
      </c>
      <c r="S276" s="29">
        <f t="shared" si="22"/>
        <v>2.3568000000000002</v>
      </c>
      <c r="T276" s="20">
        <f t="shared" si="23"/>
        <v>56.563200000000002</v>
      </c>
      <c r="U276" s="21">
        <v>0.5</v>
      </c>
      <c r="V276" s="31">
        <f t="shared" si="24"/>
        <v>57.063200000000002</v>
      </c>
    </row>
    <row r="277" spans="1:22" x14ac:dyDescent="0.3">
      <c r="A277" s="6" t="s">
        <v>845</v>
      </c>
      <c r="B277" s="6">
        <f t="shared" si="21"/>
        <v>4</v>
      </c>
      <c r="C277" s="7">
        <v>41635</v>
      </c>
      <c r="D277" s="8" t="s">
        <v>191</v>
      </c>
      <c r="E277" s="8">
        <v>123</v>
      </c>
      <c r="F277" s="8" t="s">
        <v>192</v>
      </c>
      <c r="G277" s="8" t="s">
        <v>85</v>
      </c>
      <c r="H277" s="8" t="s">
        <v>118</v>
      </c>
      <c r="I277" s="8" t="s">
        <v>40</v>
      </c>
      <c r="J277" s="8" t="s">
        <v>629</v>
      </c>
      <c r="K277" s="8" t="s">
        <v>33</v>
      </c>
      <c r="L277" s="8" t="s">
        <v>54</v>
      </c>
      <c r="M277" s="8" t="s">
        <v>30</v>
      </c>
      <c r="N277" s="26">
        <v>41637</v>
      </c>
      <c r="O277" s="14">
        <v>29.17</v>
      </c>
      <c r="P277" s="8">
        <v>37</v>
      </c>
      <c r="Q277" s="19">
        <f t="shared" ref="Q277:Q340" si="25">PRODUCT(O277,P277)</f>
        <v>1079.29</v>
      </c>
      <c r="R277" s="20">
        <v>0.09</v>
      </c>
      <c r="S277" s="29">
        <f t="shared" si="22"/>
        <v>97.136099999999999</v>
      </c>
      <c r="T277" s="20">
        <f t="shared" si="23"/>
        <v>982.15390000000002</v>
      </c>
      <c r="U277" s="21">
        <v>6.27</v>
      </c>
      <c r="V277" s="31">
        <f t="shared" si="24"/>
        <v>988.4239</v>
      </c>
    </row>
    <row r="278" spans="1:22" x14ac:dyDescent="0.3">
      <c r="A278" s="6" t="s">
        <v>846</v>
      </c>
      <c r="B278" s="6">
        <f t="shared" si="21"/>
        <v>4</v>
      </c>
      <c r="C278" s="7">
        <v>41637</v>
      </c>
      <c r="D278" s="8" t="s">
        <v>56</v>
      </c>
      <c r="E278" s="8">
        <v>10</v>
      </c>
      <c r="F278" s="8" t="s">
        <v>57</v>
      </c>
      <c r="G278" s="8" t="s">
        <v>58</v>
      </c>
      <c r="H278" s="8" t="s">
        <v>59</v>
      </c>
      <c r="I278" s="8" t="s">
        <v>26</v>
      </c>
      <c r="J278" s="8" t="s">
        <v>183</v>
      </c>
      <c r="K278" s="8" t="s">
        <v>33</v>
      </c>
      <c r="L278" s="8" t="s">
        <v>34</v>
      </c>
      <c r="M278" s="8" t="s">
        <v>30</v>
      </c>
      <c r="N278" s="26">
        <v>41638</v>
      </c>
      <c r="O278" s="14">
        <v>4.26</v>
      </c>
      <c r="P278" s="8">
        <v>26</v>
      </c>
      <c r="Q278" s="19">
        <f t="shared" si="25"/>
        <v>110.75999999999999</v>
      </c>
      <c r="R278" s="20">
        <v>0.1</v>
      </c>
      <c r="S278" s="29">
        <f t="shared" si="22"/>
        <v>11.076000000000001</v>
      </c>
      <c r="T278" s="20">
        <f t="shared" si="23"/>
        <v>99.683999999999997</v>
      </c>
      <c r="U278" s="21">
        <v>1.2</v>
      </c>
      <c r="V278" s="31">
        <f t="shared" si="24"/>
        <v>100.884</v>
      </c>
    </row>
    <row r="279" spans="1:22" x14ac:dyDescent="0.3">
      <c r="A279" s="6" t="s">
        <v>847</v>
      </c>
      <c r="B279" s="6">
        <f t="shared" si="21"/>
        <v>4</v>
      </c>
      <c r="C279" s="7">
        <v>41637</v>
      </c>
      <c r="D279" s="8" t="s">
        <v>663</v>
      </c>
      <c r="E279" s="8">
        <v>261262</v>
      </c>
      <c r="F279" s="8" t="s">
        <v>664</v>
      </c>
      <c r="G279" s="8" t="s">
        <v>38</v>
      </c>
      <c r="H279" s="8" t="s">
        <v>130</v>
      </c>
      <c r="I279" s="8" t="s">
        <v>49</v>
      </c>
      <c r="J279" s="8" t="s">
        <v>496</v>
      </c>
      <c r="K279" s="8" t="s">
        <v>28</v>
      </c>
      <c r="L279" s="8" t="s">
        <v>54</v>
      </c>
      <c r="M279" s="8" t="s">
        <v>30</v>
      </c>
      <c r="N279" s="26">
        <v>41638</v>
      </c>
      <c r="O279" s="14">
        <v>100.98</v>
      </c>
      <c r="P279" s="8">
        <v>1</v>
      </c>
      <c r="Q279" s="19">
        <f t="shared" si="25"/>
        <v>100.98</v>
      </c>
      <c r="R279" s="20">
        <v>0.1</v>
      </c>
      <c r="S279" s="29">
        <f t="shared" si="22"/>
        <v>10.098000000000001</v>
      </c>
      <c r="T279" s="20">
        <f t="shared" si="23"/>
        <v>90.882000000000005</v>
      </c>
      <c r="U279" s="21">
        <v>7.18</v>
      </c>
      <c r="V279" s="31">
        <f t="shared" si="24"/>
        <v>98.062000000000012</v>
      </c>
    </row>
    <row r="280" spans="1:22" x14ac:dyDescent="0.3">
      <c r="A280" s="6" t="s">
        <v>848</v>
      </c>
      <c r="B280" s="6">
        <f t="shared" si="21"/>
        <v>4</v>
      </c>
      <c r="C280" s="7">
        <v>41638</v>
      </c>
      <c r="D280" s="8" t="s">
        <v>849</v>
      </c>
      <c r="E280" s="8">
        <v>3334</v>
      </c>
      <c r="F280" s="8" t="s">
        <v>850</v>
      </c>
      <c r="G280" s="8" t="s">
        <v>38</v>
      </c>
      <c r="H280" s="8" t="s">
        <v>130</v>
      </c>
      <c r="I280" s="8" t="s">
        <v>136</v>
      </c>
      <c r="J280" s="8" t="s">
        <v>212</v>
      </c>
      <c r="K280" s="8" t="s">
        <v>33</v>
      </c>
      <c r="L280" s="8" t="s">
        <v>29</v>
      </c>
      <c r="M280" s="8" t="s">
        <v>30</v>
      </c>
      <c r="N280" s="26">
        <v>41639</v>
      </c>
      <c r="O280" s="14">
        <v>9.31</v>
      </c>
      <c r="P280" s="8">
        <v>18</v>
      </c>
      <c r="Q280" s="19">
        <f t="shared" si="25"/>
        <v>167.58</v>
      </c>
      <c r="R280" s="20">
        <v>0.01</v>
      </c>
      <c r="S280" s="29">
        <f t="shared" si="22"/>
        <v>1.6758000000000002</v>
      </c>
      <c r="T280" s="20">
        <f t="shared" si="23"/>
        <v>165.9042</v>
      </c>
      <c r="U280" s="21">
        <v>3.98</v>
      </c>
      <c r="V280" s="31">
        <f t="shared" si="24"/>
        <v>169.88419999999999</v>
      </c>
    </row>
    <row r="281" spans="1:22" x14ac:dyDescent="0.3">
      <c r="A281" s="6" t="s">
        <v>851</v>
      </c>
      <c r="B281" s="6">
        <f t="shared" si="21"/>
        <v>4</v>
      </c>
      <c r="C281" s="7">
        <v>41638</v>
      </c>
      <c r="D281" s="8" t="s">
        <v>814</v>
      </c>
      <c r="E281" s="8">
        <v>321322</v>
      </c>
      <c r="F281" s="8" t="s">
        <v>815</v>
      </c>
      <c r="G281" s="8" t="s">
        <v>38</v>
      </c>
      <c r="H281" s="8" t="s">
        <v>48</v>
      </c>
      <c r="I281" s="8" t="s">
        <v>40</v>
      </c>
      <c r="J281" s="8" t="s">
        <v>465</v>
      </c>
      <c r="K281" s="8" t="s">
        <v>33</v>
      </c>
      <c r="L281" s="8" t="s">
        <v>54</v>
      </c>
      <c r="M281" s="8" t="s">
        <v>30</v>
      </c>
      <c r="N281" s="26">
        <v>41638</v>
      </c>
      <c r="O281" s="14">
        <v>20.98</v>
      </c>
      <c r="P281" s="8">
        <v>23</v>
      </c>
      <c r="Q281" s="19">
        <f t="shared" si="25"/>
        <v>482.54</v>
      </c>
      <c r="R281" s="20">
        <v>0.03</v>
      </c>
      <c r="S281" s="29">
        <f t="shared" si="22"/>
        <v>14.4762</v>
      </c>
      <c r="T281" s="20">
        <f t="shared" si="23"/>
        <v>468.06380000000001</v>
      </c>
      <c r="U281" s="21">
        <v>1.49</v>
      </c>
      <c r="V281" s="31">
        <f t="shared" si="24"/>
        <v>469.55380000000002</v>
      </c>
    </row>
    <row r="282" spans="1:22" x14ac:dyDescent="0.3">
      <c r="A282" s="6" t="s">
        <v>89</v>
      </c>
      <c r="B282" s="6">
        <f t="shared" si="21"/>
        <v>1</v>
      </c>
      <c r="C282" s="7">
        <v>41643</v>
      </c>
      <c r="D282" s="8" t="s">
        <v>90</v>
      </c>
      <c r="E282" s="8">
        <v>103104</v>
      </c>
      <c r="F282" s="8" t="s">
        <v>91</v>
      </c>
      <c r="G282" s="8" t="s">
        <v>58</v>
      </c>
      <c r="H282" s="8" t="s">
        <v>92</v>
      </c>
      <c r="I282" s="8" t="s">
        <v>60</v>
      </c>
      <c r="J282" s="8" t="s">
        <v>93</v>
      </c>
      <c r="K282" s="8" t="s">
        <v>33</v>
      </c>
      <c r="L282" s="8" t="s">
        <v>54</v>
      </c>
      <c r="M282" s="8" t="s">
        <v>30</v>
      </c>
      <c r="N282" s="26">
        <v>41645</v>
      </c>
      <c r="O282" s="14">
        <v>5.58</v>
      </c>
      <c r="P282" s="8">
        <v>49</v>
      </c>
      <c r="Q282" s="19">
        <f t="shared" si="25"/>
        <v>273.42</v>
      </c>
      <c r="R282" s="20">
        <v>0.02</v>
      </c>
      <c r="S282" s="29">
        <f t="shared" si="22"/>
        <v>5.4684000000000008</v>
      </c>
      <c r="T282" s="20">
        <f t="shared" si="23"/>
        <v>267.95160000000004</v>
      </c>
      <c r="U282" s="21">
        <v>2.99</v>
      </c>
      <c r="V282" s="31">
        <f t="shared" si="24"/>
        <v>270.94160000000005</v>
      </c>
    </row>
    <row r="283" spans="1:22" x14ac:dyDescent="0.3">
      <c r="A283" s="6" t="s">
        <v>94</v>
      </c>
      <c r="B283" s="6">
        <f t="shared" si="21"/>
        <v>1</v>
      </c>
      <c r="C283" s="7">
        <v>41643</v>
      </c>
      <c r="D283" s="8" t="s">
        <v>90</v>
      </c>
      <c r="E283" s="8">
        <v>103104</v>
      </c>
      <c r="F283" s="8" t="s">
        <v>91</v>
      </c>
      <c r="G283" s="8" t="s">
        <v>58</v>
      </c>
      <c r="H283" s="8" t="s">
        <v>92</v>
      </c>
      <c r="I283" s="8" t="s">
        <v>60</v>
      </c>
      <c r="J283" s="8" t="s">
        <v>95</v>
      </c>
      <c r="K283" s="8" t="s">
        <v>33</v>
      </c>
      <c r="L283" s="8" t="s">
        <v>54</v>
      </c>
      <c r="M283" s="8" t="s">
        <v>30</v>
      </c>
      <c r="N283" s="26">
        <v>41644</v>
      </c>
      <c r="O283" s="14">
        <v>54.1</v>
      </c>
      <c r="P283" s="8">
        <v>42</v>
      </c>
      <c r="Q283" s="19">
        <f t="shared" si="25"/>
        <v>2272.2000000000003</v>
      </c>
      <c r="R283" s="20">
        <v>0.02</v>
      </c>
      <c r="S283" s="29">
        <f t="shared" si="22"/>
        <v>45.44400000000001</v>
      </c>
      <c r="T283" s="20">
        <f t="shared" si="23"/>
        <v>2226.7560000000003</v>
      </c>
      <c r="U283" s="21">
        <v>19.989999999999998</v>
      </c>
      <c r="V283" s="31">
        <f t="shared" si="24"/>
        <v>2246.7460000000001</v>
      </c>
    </row>
    <row r="284" spans="1:22" x14ac:dyDescent="0.3">
      <c r="A284" s="6" t="s">
        <v>1092</v>
      </c>
      <c r="B284" s="6">
        <f t="shared" si="21"/>
        <v>1</v>
      </c>
      <c r="C284" s="7">
        <v>41643</v>
      </c>
      <c r="D284" s="8" t="s">
        <v>90</v>
      </c>
      <c r="E284" s="8">
        <v>222113.64281782799</v>
      </c>
      <c r="F284" s="8" t="s">
        <v>91</v>
      </c>
      <c r="G284" s="8" t="s">
        <v>58</v>
      </c>
      <c r="H284" s="8" t="s">
        <v>92</v>
      </c>
      <c r="I284" s="8" t="s">
        <v>60</v>
      </c>
      <c r="J284" s="8" t="s">
        <v>93</v>
      </c>
      <c r="K284" s="8" t="s">
        <v>33</v>
      </c>
      <c r="L284" s="8" t="s">
        <v>54</v>
      </c>
      <c r="M284" s="8" t="s">
        <v>30</v>
      </c>
      <c r="N284" s="26">
        <v>41645</v>
      </c>
      <c r="O284" s="14">
        <v>56.5192364367199</v>
      </c>
      <c r="P284" s="8">
        <v>26.613106752561599</v>
      </c>
      <c r="Q284" s="19">
        <f t="shared" si="25"/>
        <v>1504.1524728636959</v>
      </c>
      <c r="R284" s="20">
        <v>4.9263135056125902E-2</v>
      </c>
      <c r="S284" s="29">
        <f t="shared" si="22"/>
        <v>74.09926641569001</v>
      </c>
      <c r="T284" s="20">
        <f t="shared" si="23"/>
        <v>1430.053206448006</v>
      </c>
      <c r="U284" s="21">
        <v>7.2862239619443399</v>
      </c>
      <c r="V284" s="31">
        <f t="shared" si="24"/>
        <v>1437.3394304099504</v>
      </c>
    </row>
    <row r="285" spans="1:22" x14ac:dyDescent="0.3">
      <c r="A285" s="6" t="s">
        <v>1092</v>
      </c>
      <c r="B285" s="6">
        <f t="shared" si="21"/>
        <v>1</v>
      </c>
      <c r="C285" s="7">
        <v>41643</v>
      </c>
      <c r="D285" s="8" t="s">
        <v>90</v>
      </c>
      <c r="E285" s="8">
        <v>222113.64281782799</v>
      </c>
      <c r="F285" s="8" t="s">
        <v>91</v>
      </c>
      <c r="G285" s="8" t="s">
        <v>58</v>
      </c>
      <c r="H285" s="8" t="s">
        <v>92</v>
      </c>
      <c r="I285" s="8" t="s">
        <v>60</v>
      </c>
      <c r="J285" s="8" t="s">
        <v>93</v>
      </c>
      <c r="K285" s="8" t="s">
        <v>33</v>
      </c>
      <c r="L285" s="8" t="s">
        <v>54</v>
      </c>
      <c r="M285" s="8" t="s">
        <v>30</v>
      </c>
      <c r="N285" s="26">
        <v>41645</v>
      </c>
      <c r="O285" s="14">
        <v>56.5192364367199</v>
      </c>
      <c r="P285" s="8">
        <v>26.613106752561599</v>
      </c>
      <c r="Q285" s="19">
        <f t="shared" si="25"/>
        <v>1504.1524728636959</v>
      </c>
      <c r="R285" s="20">
        <v>4.9263135056125902E-2</v>
      </c>
      <c r="S285" s="29">
        <f t="shared" si="22"/>
        <v>74.09926641569001</v>
      </c>
      <c r="T285" s="20">
        <f t="shared" si="23"/>
        <v>1430.053206448006</v>
      </c>
      <c r="U285" s="21">
        <v>7.2862239619443399</v>
      </c>
      <c r="V285" s="31">
        <f t="shared" si="24"/>
        <v>1437.3394304099504</v>
      </c>
    </row>
    <row r="286" spans="1:22" x14ac:dyDescent="0.3">
      <c r="A286" s="6" t="s">
        <v>1092</v>
      </c>
      <c r="B286" s="6">
        <f t="shared" si="21"/>
        <v>1</v>
      </c>
      <c r="C286" s="7">
        <v>41643</v>
      </c>
      <c r="D286" s="8" t="s">
        <v>90</v>
      </c>
      <c r="E286" s="8">
        <v>222113.64281782799</v>
      </c>
      <c r="F286" s="8" t="s">
        <v>91</v>
      </c>
      <c r="G286" s="8" t="s">
        <v>58</v>
      </c>
      <c r="H286" s="8" t="s">
        <v>92</v>
      </c>
      <c r="I286" s="8" t="s">
        <v>60</v>
      </c>
      <c r="J286" s="8" t="s">
        <v>93</v>
      </c>
      <c r="K286" s="8" t="s">
        <v>33</v>
      </c>
      <c r="L286" s="8" t="s">
        <v>54</v>
      </c>
      <c r="M286" s="8" t="s">
        <v>30</v>
      </c>
      <c r="N286" s="26">
        <v>41645</v>
      </c>
      <c r="O286" s="14">
        <v>56.5192364367199</v>
      </c>
      <c r="P286" s="8">
        <v>26.613106752561599</v>
      </c>
      <c r="Q286" s="19">
        <f t="shared" si="25"/>
        <v>1504.1524728636959</v>
      </c>
      <c r="R286" s="20">
        <v>4.9263135056125902E-2</v>
      </c>
      <c r="S286" s="29">
        <f t="shared" si="22"/>
        <v>74.09926641569001</v>
      </c>
      <c r="T286" s="20">
        <f t="shared" si="23"/>
        <v>1430.053206448006</v>
      </c>
      <c r="U286" s="21">
        <v>7.2862239619443399</v>
      </c>
      <c r="V286" s="31">
        <f t="shared" si="24"/>
        <v>1437.3394304099504</v>
      </c>
    </row>
    <row r="287" spans="1:22" x14ac:dyDescent="0.3">
      <c r="A287" s="6" t="s">
        <v>1093</v>
      </c>
      <c r="B287" s="6">
        <f t="shared" si="21"/>
        <v>1</v>
      </c>
      <c r="C287" s="7">
        <v>41643</v>
      </c>
      <c r="D287" s="8" t="s">
        <v>90</v>
      </c>
      <c r="E287" s="8">
        <v>222501.575520435</v>
      </c>
      <c r="F287" s="8" t="s">
        <v>91</v>
      </c>
      <c r="G287" s="8" t="s">
        <v>58</v>
      </c>
      <c r="H287" s="8" t="s">
        <v>92</v>
      </c>
      <c r="I287" s="8" t="s">
        <v>60</v>
      </c>
      <c r="J287" s="8" t="s">
        <v>95</v>
      </c>
      <c r="K287" s="8" t="s">
        <v>33</v>
      </c>
      <c r="L287" s="8" t="s">
        <v>54</v>
      </c>
      <c r="M287" s="8" t="s">
        <v>30</v>
      </c>
      <c r="N287" s="26">
        <v>41644</v>
      </c>
      <c r="O287" s="14">
        <v>56.564621255895197</v>
      </c>
      <c r="P287" s="8">
        <v>26.616168105227299</v>
      </c>
      <c r="Q287" s="19">
        <f t="shared" si="25"/>
        <v>1505.5334681554198</v>
      </c>
      <c r="R287" s="20">
        <v>4.9246885384430901E-2</v>
      </c>
      <c r="S287" s="29">
        <f t="shared" si="22"/>
        <v>74.142834148674709</v>
      </c>
      <c r="T287" s="20">
        <f t="shared" si="23"/>
        <v>1431.3906340067451</v>
      </c>
      <c r="U287" s="21">
        <v>7.2914848849178604</v>
      </c>
      <c r="V287" s="31">
        <f t="shared" si="24"/>
        <v>1438.6821188916631</v>
      </c>
    </row>
    <row r="288" spans="1:22" x14ac:dyDescent="0.3">
      <c r="A288" s="6" t="s">
        <v>1093</v>
      </c>
      <c r="B288" s="6">
        <f t="shared" si="21"/>
        <v>1</v>
      </c>
      <c r="C288" s="7">
        <v>41643</v>
      </c>
      <c r="D288" s="8" t="s">
        <v>90</v>
      </c>
      <c r="E288" s="8">
        <v>222501.575520435</v>
      </c>
      <c r="F288" s="8" t="s">
        <v>91</v>
      </c>
      <c r="G288" s="8" t="s">
        <v>58</v>
      </c>
      <c r="H288" s="8" t="s">
        <v>92</v>
      </c>
      <c r="I288" s="8" t="s">
        <v>60</v>
      </c>
      <c r="J288" s="8" t="s">
        <v>95</v>
      </c>
      <c r="K288" s="8" t="s">
        <v>33</v>
      </c>
      <c r="L288" s="8" t="s">
        <v>54</v>
      </c>
      <c r="M288" s="8" t="s">
        <v>30</v>
      </c>
      <c r="N288" s="26">
        <v>41644</v>
      </c>
      <c r="O288" s="14">
        <v>56.564621255895197</v>
      </c>
      <c r="P288" s="8">
        <v>26.616168105227299</v>
      </c>
      <c r="Q288" s="19">
        <f t="shared" si="25"/>
        <v>1505.5334681554198</v>
      </c>
      <c r="R288" s="20">
        <v>4.9246885384430901E-2</v>
      </c>
      <c r="S288" s="29">
        <f t="shared" si="22"/>
        <v>74.142834148674709</v>
      </c>
      <c r="T288" s="20">
        <f t="shared" si="23"/>
        <v>1431.3906340067451</v>
      </c>
      <c r="U288" s="21">
        <v>7.2914848849178604</v>
      </c>
      <c r="V288" s="31">
        <f t="shared" si="24"/>
        <v>1438.6821188916631</v>
      </c>
    </row>
    <row r="289" spans="1:22" x14ac:dyDescent="0.3">
      <c r="A289" s="6" t="s">
        <v>1093</v>
      </c>
      <c r="B289" s="6">
        <f t="shared" si="21"/>
        <v>1</v>
      </c>
      <c r="C289" s="7">
        <v>41643</v>
      </c>
      <c r="D289" s="8" t="s">
        <v>90</v>
      </c>
      <c r="E289" s="8">
        <v>222501.575520435</v>
      </c>
      <c r="F289" s="8" t="s">
        <v>91</v>
      </c>
      <c r="G289" s="8" t="s">
        <v>58</v>
      </c>
      <c r="H289" s="8" t="s">
        <v>92</v>
      </c>
      <c r="I289" s="8" t="s">
        <v>60</v>
      </c>
      <c r="J289" s="8" t="s">
        <v>95</v>
      </c>
      <c r="K289" s="8" t="s">
        <v>33</v>
      </c>
      <c r="L289" s="8" t="s">
        <v>54</v>
      </c>
      <c r="M289" s="8" t="s">
        <v>30</v>
      </c>
      <c r="N289" s="26">
        <v>41644</v>
      </c>
      <c r="O289" s="14">
        <v>56.564621255895197</v>
      </c>
      <c r="P289" s="8">
        <v>26.616168105227299</v>
      </c>
      <c r="Q289" s="19">
        <f t="shared" si="25"/>
        <v>1505.5334681554198</v>
      </c>
      <c r="R289" s="20">
        <v>4.9246885384430901E-2</v>
      </c>
      <c r="S289" s="29">
        <f t="shared" si="22"/>
        <v>74.142834148674709</v>
      </c>
      <c r="T289" s="20">
        <f t="shared" si="23"/>
        <v>1431.3906340067451</v>
      </c>
      <c r="U289" s="21">
        <v>7.2914848849178604</v>
      </c>
      <c r="V289" s="31">
        <f t="shared" si="24"/>
        <v>1438.6821188916631</v>
      </c>
    </row>
    <row r="290" spans="1:22" x14ac:dyDescent="0.3">
      <c r="A290" s="6" t="s">
        <v>852</v>
      </c>
      <c r="B290" s="6">
        <f t="shared" si="21"/>
        <v>1</v>
      </c>
      <c r="C290" s="7">
        <v>41646</v>
      </c>
      <c r="D290" s="8" t="s">
        <v>853</v>
      </c>
      <c r="E290" s="8">
        <v>335336</v>
      </c>
      <c r="F290" s="8" t="s">
        <v>637</v>
      </c>
      <c r="G290" s="8" t="s">
        <v>85</v>
      </c>
      <c r="H290" s="8" t="s">
        <v>25</v>
      </c>
      <c r="I290" s="8" t="s">
        <v>136</v>
      </c>
      <c r="J290" s="8" t="s">
        <v>76</v>
      </c>
      <c r="K290" s="8" t="s">
        <v>33</v>
      </c>
      <c r="L290" s="8" t="s">
        <v>54</v>
      </c>
      <c r="M290" s="8" t="s">
        <v>30</v>
      </c>
      <c r="N290" s="26">
        <v>41646</v>
      </c>
      <c r="O290" s="14">
        <v>165.2</v>
      </c>
      <c r="P290" s="8">
        <v>49</v>
      </c>
      <c r="Q290" s="19">
        <f t="shared" si="25"/>
        <v>8094.7999999999993</v>
      </c>
      <c r="R290" s="20">
        <v>0.05</v>
      </c>
      <c r="S290" s="29">
        <f t="shared" si="22"/>
        <v>404.74</v>
      </c>
      <c r="T290" s="20">
        <f t="shared" si="23"/>
        <v>7690.0599999999995</v>
      </c>
      <c r="U290" s="21">
        <v>19.989999999999998</v>
      </c>
      <c r="V290" s="31">
        <f t="shared" si="24"/>
        <v>7710.0499999999993</v>
      </c>
    </row>
    <row r="291" spans="1:22" x14ac:dyDescent="0.3">
      <c r="A291" s="6" t="s">
        <v>854</v>
      </c>
      <c r="B291" s="6">
        <f t="shared" si="21"/>
        <v>1</v>
      </c>
      <c r="C291" s="7">
        <v>41646</v>
      </c>
      <c r="D291" s="8" t="s">
        <v>855</v>
      </c>
      <c r="E291" s="8">
        <v>337338</v>
      </c>
      <c r="F291" s="8" t="s">
        <v>229</v>
      </c>
      <c r="G291" s="8" t="s">
        <v>85</v>
      </c>
      <c r="H291" s="8" t="s">
        <v>92</v>
      </c>
      <c r="I291" s="8" t="s">
        <v>26</v>
      </c>
      <c r="J291" s="8" t="s">
        <v>163</v>
      </c>
      <c r="K291" s="8" t="s">
        <v>33</v>
      </c>
      <c r="L291" s="8" t="s">
        <v>34</v>
      </c>
      <c r="M291" s="8" t="s">
        <v>30</v>
      </c>
      <c r="N291" s="26">
        <v>41647</v>
      </c>
      <c r="O291" s="14">
        <v>3.78</v>
      </c>
      <c r="P291" s="8">
        <v>47</v>
      </c>
      <c r="Q291" s="19">
        <f t="shared" si="25"/>
        <v>177.66</v>
      </c>
      <c r="R291" s="20">
        <v>0.02</v>
      </c>
      <c r="S291" s="29">
        <f t="shared" si="22"/>
        <v>3.5531999999999999</v>
      </c>
      <c r="T291" s="20">
        <f t="shared" si="23"/>
        <v>174.10679999999999</v>
      </c>
      <c r="U291" s="21">
        <v>0.71</v>
      </c>
      <c r="V291" s="31">
        <f t="shared" si="24"/>
        <v>174.8168</v>
      </c>
    </row>
    <row r="292" spans="1:22" x14ac:dyDescent="0.3">
      <c r="A292" s="6" t="s">
        <v>856</v>
      </c>
      <c r="B292" s="6">
        <f t="shared" si="21"/>
        <v>1</v>
      </c>
      <c r="C292" s="7">
        <v>41647</v>
      </c>
      <c r="D292" s="8" t="s">
        <v>857</v>
      </c>
      <c r="E292" s="8">
        <v>339340</v>
      </c>
      <c r="F292" s="8" t="s">
        <v>386</v>
      </c>
      <c r="G292" s="8" t="s">
        <v>38</v>
      </c>
      <c r="H292" s="8" t="s">
        <v>59</v>
      </c>
      <c r="I292" s="8" t="s">
        <v>40</v>
      </c>
      <c r="J292" s="8" t="s">
        <v>171</v>
      </c>
      <c r="K292" s="8" t="s">
        <v>33</v>
      </c>
      <c r="L292" s="8" t="s">
        <v>54</v>
      </c>
      <c r="M292" s="8" t="s">
        <v>30</v>
      </c>
      <c r="N292" s="26">
        <v>41654</v>
      </c>
      <c r="O292" s="14">
        <v>22.38</v>
      </c>
      <c r="P292" s="8">
        <v>21</v>
      </c>
      <c r="Q292" s="19">
        <f t="shared" si="25"/>
        <v>469.97999999999996</v>
      </c>
      <c r="R292" s="20">
        <v>0.04</v>
      </c>
      <c r="S292" s="29">
        <f t="shared" si="22"/>
        <v>18.799199999999999</v>
      </c>
      <c r="T292" s="20">
        <f t="shared" si="23"/>
        <v>451.18079999999998</v>
      </c>
      <c r="U292" s="21">
        <v>15.1</v>
      </c>
      <c r="V292" s="31">
        <f t="shared" si="24"/>
        <v>466.2808</v>
      </c>
    </row>
    <row r="293" spans="1:22" x14ac:dyDescent="0.3">
      <c r="A293" s="6" t="s">
        <v>858</v>
      </c>
      <c r="B293" s="6">
        <f t="shared" si="21"/>
        <v>1</v>
      </c>
      <c r="C293" s="7">
        <v>41647</v>
      </c>
      <c r="D293" s="8" t="s">
        <v>341</v>
      </c>
      <c r="E293" s="8">
        <v>16</v>
      </c>
      <c r="F293" s="8" t="s">
        <v>342</v>
      </c>
      <c r="G293" s="8" t="s">
        <v>24</v>
      </c>
      <c r="H293" s="8" t="s">
        <v>74</v>
      </c>
      <c r="I293" s="8" t="s">
        <v>40</v>
      </c>
      <c r="J293" s="8" t="s">
        <v>222</v>
      </c>
      <c r="K293" s="8" t="s">
        <v>33</v>
      </c>
      <c r="L293" s="8" t="s">
        <v>34</v>
      </c>
      <c r="M293" s="8" t="s">
        <v>30</v>
      </c>
      <c r="N293" s="26">
        <v>41651</v>
      </c>
      <c r="O293" s="14">
        <v>2.88</v>
      </c>
      <c r="P293" s="8">
        <v>46</v>
      </c>
      <c r="Q293" s="19">
        <f t="shared" si="25"/>
        <v>132.47999999999999</v>
      </c>
      <c r="R293" s="20">
        <v>0.04</v>
      </c>
      <c r="S293" s="29">
        <f t="shared" si="22"/>
        <v>5.2991999999999999</v>
      </c>
      <c r="T293" s="20">
        <f t="shared" si="23"/>
        <v>127.18079999999999</v>
      </c>
      <c r="U293" s="21">
        <v>1.01</v>
      </c>
      <c r="V293" s="31">
        <f t="shared" si="24"/>
        <v>128.1908</v>
      </c>
    </row>
    <row r="294" spans="1:22" x14ac:dyDescent="0.3">
      <c r="A294" s="6" t="s">
        <v>96</v>
      </c>
      <c r="B294" s="6">
        <f t="shared" si="21"/>
        <v>1</v>
      </c>
      <c r="C294" s="7">
        <v>41649</v>
      </c>
      <c r="D294" s="8" t="s">
        <v>97</v>
      </c>
      <c r="E294" s="8">
        <v>105106</v>
      </c>
      <c r="F294" s="8" t="s">
        <v>98</v>
      </c>
      <c r="G294" s="8" t="s">
        <v>85</v>
      </c>
      <c r="H294" s="8" t="s">
        <v>99</v>
      </c>
      <c r="I294" s="8" t="s">
        <v>26</v>
      </c>
      <c r="J294" s="8" t="s">
        <v>53</v>
      </c>
      <c r="K294" s="8" t="s">
        <v>33</v>
      </c>
      <c r="L294" s="8" t="s">
        <v>54</v>
      </c>
      <c r="M294" s="8" t="s">
        <v>42</v>
      </c>
      <c r="N294" s="26">
        <v>41649</v>
      </c>
      <c r="O294" s="14">
        <v>5.4</v>
      </c>
      <c r="P294" s="8">
        <v>9</v>
      </c>
      <c r="Q294" s="19">
        <f t="shared" si="25"/>
        <v>48.6</v>
      </c>
      <c r="R294" s="20">
        <v>0.09</v>
      </c>
      <c r="S294" s="29">
        <f t="shared" si="22"/>
        <v>4.3739999999999997</v>
      </c>
      <c r="T294" s="20">
        <f t="shared" si="23"/>
        <v>44.225999999999999</v>
      </c>
      <c r="U294" s="21">
        <v>7.78</v>
      </c>
      <c r="V294" s="31">
        <f t="shared" si="24"/>
        <v>52.006</v>
      </c>
    </row>
    <row r="295" spans="1:22" x14ac:dyDescent="0.3">
      <c r="A295" s="6" t="s">
        <v>100</v>
      </c>
      <c r="B295" s="6">
        <f t="shared" si="21"/>
        <v>1</v>
      </c>
      <c r="C295" s="7">
        <v>41649</v>
      </c>
      <c r="D295" s="8" t="s">
        <v>97</v>
      </c>
      <c r="E295" s="8">
        <v>105106</v>
      </c>
      <c r="F295" s="8" t="s">
        <v>98</v>
      </c>
      <c r="G295" s="8" t="s">
        <v>85</v>
      </c>
      <c r="H295" s="8" t="s">
        <v>99</v>
      </c>
      <c r="I295" s="8" t="s">
        <v>26</v>
      </c>
      <c r="J295" s="8" t="s">
        <v>101</v>
      </c>
      <c r="K295" s="8" t="s">
        <v>33</v>
      </c>
      <c r="L295" s="8" t="s">
        <v>29</v>
      </c>
      <c r="M295" s="8" t="s">
        <v>30</v>
      </c>
      <c r="N295" s="26">
        <v>41650</v>
      </c>
      <c r="O295" s="14">
        <v>2.08</v>
      </c>
      <c r="P295" s="8">
        <v>43</v>
      </c>
      <c r="Q295" s="19">
        <f t="shared" si="25"/>
        <v>89.44</v>
      </c>
      <c r="R295" s="20">
        <v>0.05</v>
      </c>
      <c r="S295" s="29">
        <f t="shared" si="22"/>
        <v>4.4720000000000004</v>
      </c>
      <c r="T295" s="20">
        <f t="shared" si="23"/>
        <v>84.968000000000004</v>
      </c>
      <c r="U295" s="21">
        <v>2.56</v>
      </c>
      <c r="V295" s="31">
        <f t="shared" si="24"/>
        <v>87.528000000000006</v>
      </c>
    </row>
    <row r="296" spans="1:22" x14ac:dyDescent="0.3">
      <c r="A296" s="6" t="s">
        <v>1094</v>
      </c>
      <c r="B296" s="6">
        <f t="shared" si="21"/>
        <v>1</v>
      </c>
      <c r="C296" s="7">
        <v>41649</v>
      </c>
      <c r="D296" s="8" t="s">
        <v>97</v>
      </c>
      <c r="E296" s="8">
        <v>222889.50822304201</v>
      </c>
      <c r="F296" s="8" t="s">
        <v>98</v>
      </c>
      <c r="G296" s="8" t="s">
        <v>85</v>
      </c>
      <c r="H296" s="8" t="s">
        <v>99</v>
      </c>
      <c r="I296" s="8" t="s">
        <v>26</v>
      </c>
      <c r="J296" s="8" t="s">
        <v>53</v>
      </c>
      <c r="K296" s="8" t="s">
        <v>33</v>
      </c>
      <c r="L296" s="8" t="s">
        <v>54</v>
      </c>
      <c r="M296" s="8" t="s">
        <v>42</v>
      </c>
      <c r="N296" s="26">
        <v>41649</v>
      </c>
      <c r="O296" s="14">
        <v>56.610006075070501</v>
      </c>
      <c r="P296" s="8">
        <v>26.619229457892899</v>
      </c>
      <c r="Q296" s="19">
        <f t="shared" si="25"/>
        <v>1506.9147413250128</v>
      </c>
      <c r="R296" s="20">
        <v>4.92306357127359E-2</v>
      </c>
      <c r="S296" s="29">
        <f t="shared" si="22"/>
        <v>74.18637068032335</v>
      </c>
      <c r="T296" s="20">
        <f t="shared" si="23"/>
        <v>1432.7283706446894</v>
      </c>
      <c r="U296" s="21">
        <v>7.2967458078913898</v>
      </c>
      <c r="V296" s="31">
        <f t="shared" si="24"/>
        <v>1440.0251164525807</v>
      </c>
    </row>
    <row r="297" spans="1:22" x14ac:dyDescent="0.3">
      <c r="A297" s="6" t="s">
        <v>1094</v>
      </c>
      <c r="B297" s="6">
        <f t="shared" si="21"/>
        <v>1</v>
      </c>
      <c r="C297" s="7">
        <v>41649</v>
      </c>
      <c r="D297" s="8" t="s">
        <v>97</v>
      </c>
      <c r="E297" s="8">
        <v>222889.50822304201</v>
      </c>
      <c r="F297" s="8" t="s">
        <v>98</v>
      </c>
      <c r="G297" s="8" t="s">
        <v>85</v>
      </c>
      <c r="H297" s="8" t="s">
        <v>99</v>
      </c>
      <c r="I297" s="8" t="s">
        <v>26</v>
      </c>
      <c r="J297" s="8" t="s">
        <v>53</v>
      </c>
      <c r="K297" s="8" t="s">
        <v>33</v>
      </c>
      <c r="L297" s="8" t="s">
        <v>54</v>
      </c>
      <c r="M297" s="8" t="s">
        <v>42</v>
      </c>
      <c r="N297" s="26">
        <v>41649</v>
      </c>
      <c r="O297" s="14">
        <v>56.610006075070501</v>
      </c>
      <c r="P297" s="8">
        <v>26.619229457892899</v>
      </c>
      <c r="Q297" s="19">
        <f t="shared" si="25"/>
        <v>1506.9147413250128</v>
      </c>
      <c r="R297" s="20">
        <v>4.92306357127359E-2</v>
      </c>
      <c r="S297" s="29">
        <f t="shared" si="22"/>
        <v>74.18637068032335</v>
      </c>
      <c r="T297" s="20">
        <f t="shared" si="23"/>
        <v>1432.7283706446894</v>
      </c>
      <c r="U297" s="21">
        <v>7.2967458078913898</v>
      </c>
      <c r="V297" s="31">
        <f t="shared" si="24"/>
        <v>1440.0251164525807</v>
      </c>
    </row>
    <row r="298" spans="1:22" x14ac:dyDescent="0.3">
      <c r="A298" s="6" t="s">
        <v>1094</v>
      </c>
      <c r="B298" s="6">
        <f t="shared" si="21"/>
        <v>1</v>
      </c>
      <c r="C298" s="7">
        <v>41649</v>
      </c>
      <c r="D298" s="8" t="s">
        <v>97</v>
      </c>
      <c r="E298" s="8">
        <v>222889.50822304201</v>
      </c>
      <c r="F298" s="8" t="s">
        <v>98</v>
      </c>
      <c r="G298" s="8" t="s">
        <v>85</v>
      </c>
      <c r="H298" s="8" t="s">
        <v>99</v>
      </c>
      <c r="I298" s="8" t="s">
        <v>26</v>
      </c>
      <c r="J298" s="8" t="s">
        <v>53</v>
      </c>
      <c r="K298" s="8" t="s">
        <v>33</v>
      </c>
      <c r="L298" s="8" t="s">
        <v>54</v>
      </c>
      <c r="M298" s="8" t="s">
        <v>42</v>
      </c>
      <c r="N298" s="26">
        <v>41649</v>
      </c>
      <c r="O298" s="14">
        <v>56.610006075070501</v>
      </c>
      <c r="P298" s="8">
        <v>26.619229457892899</v>
      </c>
      <c r="Q298" s="19">
        <f t="shared" si="25"/>
        <v>1506.9147413250128</v>
      </c>
      <c r="R298" s="20">
        <v>4.92306357127359E-2</v>
      </c>
      <c r="S298" s="29">
        <f t="shared" si="22"/>
        <v>74.18637068032335</v>
      </c>
      <c r="T298" s="20">
        <f t="shared" si="23"/>
        <v>1432.7283706446894</v>
      </c>
      <c r="U298" s="21">
        <v>7.2967458078913898</v>
      </c>
      <c r="V298" s="31">
        <f t="shared" si="24"/>
        <v>1440.0251164525807</v>
      </c>
    </row>
    <row r="299" spans="1:22" x14ac:dyDescent="0.3">
      <c r="A299" s="6" t="s">
        <v>1095</v>
      </c>
      <c r="B299" s="6">
        <f t="shared" si="21"/>
        <v>1</v>
      </c>
      <c r="C299" s="7">
        <v>41649</v>
      </c>
      <c r="D299" s="8" t="s">
        <v>97</v>
      </c>
      <c r="E299" s="8">
        <v>223277.44092564899</v>
      </c>
      <c r="F299" s="8" t="s">
        <v>98</v>
      </c>
      <c r="G299" s="8" t="s">
        <v>85</v>
      </c>
      <c r="H299" s="8" t="s">
        <v>99</v>
      </c>
      <c r="I299" s="8" t="s">
        <v>26</v>
      </c>
      <c r="J299" s="8" t="s">
        <v>101</v>
      </c>
      <c r="K299" s="8" t="s">
        <v>33</v>
      </c>
      <c r="L299" s="8" t="s">
        <v>29</v>
      </c>
      <c r="M299" s="8" t="s">
        <v>30</v>
      </c>
      <c r="N299" s="26">
        <v>41650</v>
      </c>
      <c r="O299" s="14">
        <v>56.655390894245798</v>
      </c>
      <c r="P299" s="8">
        <v>26.622290810558599</v>
      </c>
      <c r="Q299" s="19">
        <f t="shared" si="25"/>
        <v>1508.2962923724854</v>
      </c>
      <c r="R299" s="20">
        <v>4.9214386041041003E-2</v>
      </c>
      <c r="S299" s="29">
        <f t="shared" si="22"/>
        <v>74.229875997090346</v>
      </c>
      <c r="T299" s="20">
        <f t="shared" si="23"/>
        <v>1434.066416375395</v>
      </c>
      <c r="U299" s="21">
        <v>7.3020067308649104</v>
      </c>
      <c r="V299" s="31">
        <f t="shared" si="24"/>
        <v>1441.3684231062598</v>
      </c>
    </row>
    <row r="300" spans="1:22" x14ac:dyDescent="0.3">
      <c r="A300" s="6" t="s">
        <v>1095</v>
      </c>
      <c r="B300" s="6">
        <f t="shared" si="21"/>
        <v>1</v>
      </c>
      <c r="C300" s="7">
        <v>41649</v>
      </c>
      <c r="D300" s="8" t="s">
        <v>97</v>
      </c>
      <c r="E300" s="8">
        <v>223277.44092564899</v>
      </c>
      <c r="F300" s="8" t="s">
        <v>98</v>
      </c>
      <c r="G300" s="8" t="s">
        <v>85</v>
      </c>
      <c r="H300" s="8" t="s">
        <v>99</v>
      </c>
      <c r="I300" s="8" t="s">
        <v>26</v>
      </c>
      <c r="J300" s="8" t="s">
        <v>101</v>
      </c>
      <c r="K300" s="8" t="s">
        <v>33</v>
      </c>
      <c r="L300" s="8" t="s">
        <v>29</v>
      </c>
      <c r="M300" s="8" t="s">
        <v>30</v>
      </c>
      <c r="N300" s="26">
        <v>41650</v>
      </c>
      <c r="O300" s="14">
        <v>56.655390894245798</v>
      </c>
      <c r="P300" s="8">
        <v>26.622290810558599</v>
      </c>
      <c r="Q300" s="19">
        <f t="shared" si="25"/>
        <v>1508.2962923724854</v>
      </c>
      <c r="R300" s="20">
        <v>4.9214386041041003E-2</v>
      </c>
      <c r="S300" s="29">
        <f t="shared" si="22"/>
        <v>74.229875997090346</v>
      </c>
      <c r="T300" s="20">
        <f t="shared" si="23"/>
        <v>1434.066416375395</v>
      </c>
      <c r="U300" s="21">
        <v>7.3020067308649104</v>
      </c>
      <c r="V300" s="31">
        <f t="shared" si="24"/>
        <v>1441.3684231062598</v>
      </c>
    </row>
    <row r="301" spans="1:22" x14ac:dyDescent="0.3">
      <c r="A301" s="6" t="s">
        <v>859</v>
      </c>
      <c r="B301" s="6">
        <f t="shared" si="21"/>
        <v>1</v>
      </c>
      <c r="C301" s="7">
        <v>41649</v>
      </c>
      <c r="D301" s="8" t="s">
        <v>608</v>
      </c>
      <c r="E301" s="8">
        <v>243244</v>
      </c>
      <c r="F301" s="8" t="s">
        <v>609</v>
      </c>
      <c r="G301" s="8" t="s">
        <v>38</v>
      </c>
      <c r="H301" s="8" t="s">
        <v>48</v>
      </c>
      <c r="I301" s="8" t="s">
        <v>49</v>
      </c>
      <c r="J301" s="8" t="s">
        <v>242</v>
      </c>
      <c r="K301" s="8" t="s">
        <v>243</v>
      </c>
      <c r="L301" s="8" t="s">
        <v>106</v>
      </c>
      <c r="M301" s="8" t="s">
        <v>42</v>
      </c>
      <c r="N301" s="26">
        <v>41650</v>
      </c>
      <c r="O301" s="14">
        <v>136.97999999999999</v>
      </c>
      <c r="P301" s="8">
        <v>18</v>
      </c>
      <c r="Q301" s="19">
        <f t="shared" si="25"/>
        <v>2465.64</v>
      </c>
      <c r="R301" s="20">
        <v>0.02</v>
      </c>
      <c r="S301" s="29">
        <f t="shared" si="22"/>
        <v>49.312799999999996</v>
      </c>
      <c r="T301" s="20">
        <f t="shared" si="23"/>
        <v>2416.3271999999997</v>
      </c>
      <c r="U301" s="21">
        <v>24.49</v>
      </c>
      <c r="V301" s="31">
        <f t="shared" si="24"/>
        <v>2440.8171999999995</v>
      </c>
    </row>
    <row r="302" spans="1:22" x14ac:dyDescent="0.3">
      <c r="A302" s="6" t="s">
        <v>860</v>
      </c>
      <c r="B302" s="6">
        <f t="shared" si="21"/>
        <v>1</v>
      </c>
      <c r="C302" s="7">
        <v>41652</v>
      </c>
      <c r="D302" s="8" t="s">
        <v>861</v>
      </c>
      <c r="E302" s="8">
        <v>34</v>
      </c>
      <c r="F302" s="8" t="s">
        <v>862</v>
      </c>
      <c r="G302" s="8" t="s">
        <v>85</v>
      </c>
      <c r="H302" s="8" t="s">
        <v>48</v>
      </c>
      <c r="I302" s="8" t="s">
        <v>40</v>
      </c>
      <c r="J302" s="8" t="s">
        <v>573</v>
      </c>
      <c r="K302" s="8" t="s">
        <v>33</v>
      </c>
      <c r="L302" s="8" t="s">
        <v>54</v>
      </c>
      <c r="M302" s="8" t="s">
        <v>30</v>
      </c>
      <c r="N302" s="26">
        <v>41657</v>
      </c>
      <c r="O302" s="14">
        <v>35.94</v>
      </c>
      <c r="P302" s="8">
        <v>13</v>
      </c>
      <c r="Q302" s="19">
        <f t="shared" si="25"/>
        <v>467.21999999999997</v>
      </c>
      <c r="R302" s="20">
        <v>0.09</v>
      </c>
      <c r="S302" s="29">
        <f t="shared" si="22"/>
        <v>42.049799999999998</v>
      </c>
      <c r="T302" s="20">
        <f t="shared" si="23"/>
        <v>425.17019999999997</v>
      </c>
      <c r="U302" s="21">
        <v>6.66</v>
      </c>
      <c r="V302" s="31">
        <f t="shared" si="24"/>
        <v>431.83019999999999</v>
      </c>
    </row>
    <row r="303" spans="1:22" x14ac:dyDescent="0.3">
      <c r="A303" s="6" t="s">
        <v>863</v>
      </c>
      <c r="B303" s="6">
        <f t="shared" si="21"/>
        <v>1</v>
      </c>
      <c r="C303" s="7">
        <v>41653</v>
      </c>
      <c r="D303" s="8" t="s">
        <v>864</v>
      </c>
      <c r="E303" s="8">
        <v>34</v>
      </c>
      <c r="F303" s="8" t="s">
        <v>442</v>
      </c>
      <c r="G303" s="8" t="s">
        <v>58</v>
      </c>
      <c r="H303" s="8" t="s">
        <v>298</v>
      </c>
      <c r="I303" s="8" t="s">
        <v>49</v>
      </c>
      <c r="J303" s="8" t="s">
        <v>53</v>
      </c>
      <c r="K303" s="8" t="s">
        <v>33</v>
      </c>
      <c r="L303" s="8" t="s">
        <v>54</v>
      </c>
      <c r="M303" s="8" t="s">
        <v>42</v>
      </c>
      <c r="N303" s="26">
        <v>41655</v>
      </c>
      <c r="O303" s="14">
        <v>5.4</v>
      </c>
      <c r="P303" s="8">
        <v>14</v>
      </c>
      <c r="Q303" s="19">
        <f t="shared" si="25"/>
        <v>75.600000000000009</v>
      </c>
      <c r="R303" s="20">
        <v>0.09</v>
      </c>
      <c r="S303" s="29">
        <f t="shared" si="22"/>
        <v>6.8040000000000003</v>
      </c>
      <c r="T303" s="20">
        <f t="shared" si="23"/>
        <v>68.796000000000006</v>
      </c>
      <c r="U303" s="21">
        <v>7.78</v>
      </c>
      <c r="V303" s="31">
        <f t="shared" si="24"/>
        <v>76.576000000000008</v>
      </c>
    </row>
    <row r="304" spans="1:22" x14ac:dyDescent="0.3">
      <c r="A304" s="6" t="s">
        <v>865</v>
      </c>
      <c r="B304" s="6">
        <f t="shared" si="21"/>
        <v>1</v>
      </c>
      <c r="C304" s="7">
        <v>41653</v>
      </c>
      <c r="D304" s="8" t="s">
        <v>703</v>
      </c>
      <c r="E304" s="8">
        <v>28</v>
      </c>
      <c r="F304" s="8" t="s">
        <v>704</v>
      </c>
      <c r="G304" s="8" t="s">
        <v>85</v>
      </c>
      <c r="H304" s="8" t="s">
        <v>298</v>
      </c>
      <c r="I304" s="8" t="s">
        <v>49</v>
      </c>
      <c r="J304" s="8" t="s">
        <v>606</v>
      </c>
      <c r="K304" s="8" t="s">
        <v>33</v>
      </c>
      <c r="L304" s="8" t="s">
        <v>34</v>
      </c>
      <c r="M304" s="8" t="s">
        <v>30</v>
      </c>
      <c r="N304" s="26">
        <v>41656</v>
      </c>
      <c r="O304" s="14">
        <v>3.98</v>
      </c>
      <c r="P304" s="8">
        <v>41</v>
      </c>
      <c r="Q304" s="19">
        <f t="shared" si="25"/>
        <v>163.18</v>
      </c>
      <c r="R304" s="20">
        <v>7.0000000000000007E-2</v>
      </c>
      <c r="S304" s="29">
        <f t="shared" si="22"/>
        <v>11.422600000000001</v>
      </c>
      <c r="T304" s="20">
        <f t="shared" si="23"/>
        <v>151.75740000000002</v>
      </c>
      <c r="U304" s="21">
        <v>0.83</v>
      </c>
      <c r="V304" s="31">
        <f t="shared" si="24"/>
        <v>152.58740000000003</v>
      </c>
    </row>
    <row r="305" spans="1:22" x14ac:dyDescent="0.3">
      <c r="A305" s="6" t="s">
        <v>866</v>
      </c>
      <c r="B305" s="6">
        <f t="shared" si="21"/>
        <v>1</v>
      </c>
      <c r="C305" s="7">
        <v>41654</v>
      </c>
      <c r="D305" s="8" t="s">
        <v>546</v>
      </c>
      <c r="E305" s="8">
        <v>223224</v>
      </c>
      <c r="F305" s="8" t="s">
        <v>547</v>
      </c>
      <c r="G305" s="8" t="s">
        <v>24</v>
      </c>
      <c r="H305" s="8" t="s">
        <v>25</v>
      </c>
      <c r="I305" s="8" t="s">
        <v>26</v>
      </c>
      <c r="J305" s="8" t="s">
        <v>156</v>
      </c>
      <c r="K305" s="8" t="s">
        <v>33</v>
      </c>
      <c r="L305" s="8" t="s">
        <v>29</v>
      </c>
      <c r="M305" s="8" t="s">
        <v>42</v>
      </c>
      <c r="N305" s="26">
        <v>41656</v>
      </c>
      <c r="O305" s="14">
        <v>12.98</v>
      </c>
      <c r="P305" s="8">
        <v>34</v>
      </c>
      <c r="Q305" s="19">
        <f t="shared" si="25"/>
        <v>441.32</v>
      </c>
      <c r="R305" s="20">
        <v>0.04</v>
      </c>
      <c r="S305" s="29">
        <f t="shared" si="22"/>
        <v>17.652799999999999</v>
      </c>
      <c r="T305" s="20">
        <f t="shared" si="23"/>
        <v>423.66719999999998</v>
      </c>
      <c r="U305" s="21">
        <v>3.14</v>
      </c>
      <c r="V305" s="31">
        <f t="shared" si="24"/>
        <v>426.80719999999997</v>
      </c>
    </row>
    <row r="306" spans="1:22" x14ac:dyDescent="0.3">
      <c r="A306" s="6" t="s">
        <v>867</v>
      </c>
      <c r="B306" s="6">
        <f t="shared" si="21"/>
        <v>1</v>
      </c>
      <c r="C306" s="7">
        <v>41654</v>
      </c>
      <c r="D306" s="8" t="s">
        <v>868</v>
      </c>
      <c r="E306" s="8">
        <v>341342</v>
      </c>
      <c r="F306" s="8" t="s">
        <v>431</v>
      </c>
      <c r="G306" s="8" t="s">
        <v>85</v>
      </c>
      <c r="H306" s="8" t="s">
        <v>288</v>
      </c>
      <c r="I306" s="8" t="s">
        <v>26</v>
      </c>
      <c r="J306" s="8" t="s">
        <v>869</v>
      </c>
      <c r="K306" s="8" t="s">
        <v>28</v>
      </c>
      <c r="L306" s="8" t="s">
        <v>138</v>
      </c>
      <c r="M306" s="8" t="s">
        <v>139</v>
      </c>
      <c r="N306" s="26">
        <v>41656</v>
      </c>
      <c r="O306" s="14">
        <v>535.64</v>
      </c>
      <c r="P306" s="8">
        <v>1</v>
      </c>
      <c r="Q306" s="19">
        <f t="shared" si="25"/>
        <v>535.64</v>
      </c>
      <c r="R306" s="20">
        <v>0.05</v>
      </c>
      <c r="S306" s="29">
        <f t="shared" si="22"/>
        <v>26.782</v>
      </c>
      <c r="T306" s="20">
        <f t="shared" si="23"/>
        <v>508.858</v>
      </c>
      <c r="U306" s="21">
        <v>14.7</v>
      </c>
      <c r="V306" s="31">
        <f t="shared" si="24"/>
        <v>523.55799999999999</v>
      </c>
    </row>
    <row r="307" spans="1:22" x14ac:dyDescent="0.3">
      <c r="A307" s="6" t="s">
        <v>870</v>
      </c>
      <c r="B307" s="6">
        <f t="shared" si="21"/>
        <v>1</v>
      </c>
      <c r="C307" s="7">
        <v>41656</v>
      </c>
      <c r="D307" s="8" t="s">
        <v>224</v>
      </c>
      <c r="E307" s="8">
        <v>13</v>
      </c>
      <c r="F307" s="8" t="s">
        <v>225</v>
      </c>
      <c r="G307" s="8" t="s">
        <v>85</v>
      </c>
      <c r="H307" s="8" t="s">
        <v>25</v>
      </c>
      <c r="I307" s="8" t="s">
        <v>60</v>
      </c>
      <c r="J307" s="8" t="s">
        <v>477</v>
      </c>
      <c r="K307" s="8" t="s">
        <v>33</v>
      </c>
      <c r="L307" s="8" t="s">
        <v>54</v>
      </c>
      <c r="M307" s="8" t="s">
        <v>30</v>
      </c>
      <c r="N307" s="26">
        <v>41658</v>
      </c>
      <c r="O307" s="14">
        <v>6.3</v>
      </c>
      <c r="P307" s="8">
        <v>32</v>
      </c>
      <c r="Q307" s="19">
        <f t="shared" si="25"/>
        <v>201.6</v>
      </c>
      <c r="R307" s="20">
        <v>0.04</v>
      </c>
      <c r="S307" s="29">
        <f t="shared" si="22"/>
        <v>8.0640000000000001</v>
      </c>
      <c r="T307" s="20">
        <f t="shared" si="23"/>
        <v>193.536</v>
      </c>
      <c r="U307" s="21">
        <v>0.5</v>
      </c>
      <c r="V307" s="31">
        <f t="shared" si="24"/>
        <v>194.036</v>
      </c>
    </row>
    <row r="308" spans="1:22" x14ac:dyDescent="0.3">
      <c r="A308" s="6" t="s">
        <v>871</v>
      </c>
      <c r="B308" s="6">
        <f t="shared" si="21"/>
        <v>1</v>
      </c>
      <c r="C308" s="7">
        <v>41662</v>
      </c>
      <c r="D308" s="8" t="s">
        <v>872</v>
      </c>
      <c r="E308" s="8">
        <v>343344</v>
      </c>
      <c r="F308" s="8" t="s">
        <v>609</v>
      </c>
      <c r="G308" s="8" t="s">
        <v>85</v>
      </c>
      <c r="H308" s="8" t="s">
        <v>398</v>
      </c>
      <c r="I308" s="8" t="s">
        <v>49</v>
      </c>
      <c r="J308" s="8" t="s">
        <v>152</v>
      </c>
      <c r="K308" s="8" t="s">
        <v>33</v>
      </c>
      <c r="L308" s="8" t="s">
        <v>34</v>
      </c>
      <c r="M308" s="8" t="s">
        <v>30</v>
      </c>
      <c r="N308" s="26">
        <v>41664</v>
      </c>
      <c r="O308" s="14">
        <v>1.48</v>
      </c>
      <c r="P308" s="8">
        <v>27</v>
      </c>
      <c r="Q308" s="19">
        <f t="shared" si="25"/>
        <v>39.96</v>
      </c>
      <c r="R308" s="20">
        <v>0</v>
      </c>
      <c r="S308" s="29">
        <f t="shared" si="22"/>
        <v>0</v>
      </c>
      <c r="T308" s="20">
        <f t="shared" si="23"/>
        <v>39.96</v>
      </c>
      <c r="U308" s="21">
        <v>0.7</v>
      </c>
      <c r="V308" s="31">
        <f t="shared" si="24"/>
        <v>40.660000000000004</v>
      </c>
    </row>
    <row r="309" spans="1:22" x14ac:dyDescent="0.3">
      <c r="A309" s="6" t="s">
        <v>873</v>
      </c>
      <c r="B309" s="6">
        <f t="shared" si="21"/>
        <v>1</v>
      </c>
      <c r="C309" s="7">
        <v>41663</v>
      </c>
      <c r="D309" s="8" t="s">
        <v>874</v>
      </c>
      <c r="E309" s="8">
        <v>345346</v>
      </c>
      <c r="F309" s="8" t="s">
        <v>727</v>
      </c>
      <c r="G309" s="8" t="s">
        <v>24</v>
      </c>
      <c r="H309" s="8" t="s">
        <v>25</v>
      </c>
      <c r="I309" s="8" t="s">
        <v>136</v>
      </c>
      <c r="J309" s="8" t="s">
        <v>614</v>
      </c>
      <c r="K309" s="8" t="s">
        <v>28</v>
      </c>
      <c r="L309" s="8" t="s">
        <v>138</v>
      </c>
      <c r="M309" s="8" t="s">
        <v>139</v>
      </c>
      <c r="N309" s="26">
        <v>41665</v>
      </c>
      <c r="O309" s="14">
        <v>119.99</v>
      </c>
      <c r="P309" s="8">
        <v>13</v>
      </c>
      <c r="Q309" s="19">
        <f t="shared" si="25"/>
        <v>1559.87</v>
      </c>
      <c r="R309" s="20">
        <v>0.04</v>
      </c>
      <c r="S309" s="29">
        <f t="shared" si="22"/>
        <v>62.394799999999996</v>
      </c>
      <c r="T309" s="20">
        <f t="shared" si="23"/>
        <v>1497.4751999999999</v>
      </c>
      <c r="U309" s="21">
        <v>14</v>
      </c>
      <c r="V309" s="31">
        <f t="shared" si="24"/>
        <v>1511.4751999999999</v>
      </c>
    </row>
    <row r="310" spans="1:22" x14ac:dyDescent="0.3">
      <c r="A310" s="6" t="s">
        <v>875</v>
      </c>
      <c r="B310" s="6">
        <f t="shared" si="21"/>
        <v>1</v>
      </c>
      <c r="C310" s="7">
        <v>41664</v>
      </c>
      <c r="D310" s="8" t="s">
        <v>876</v>
      </c>
      <c r="E310" s="8">
        <v>347348</v>
      </c>
      <c r="F310" s="8" t="s">
        <v>692</v>
      </c>
      <c r="G310" s="8" t="s">
        <v>85</v>
      </c>
      <c r="H310" s="8" t="s">
        <v>25</v>
      </c>
      <c r="I310" s="8" t="s">
        <v>26</v>
      </c>
      <c r="J310" s="8" t="s">
        <v>193</v>
      </c>
      <c r="K310" s="8" t="s">
        <v>33</v>
      </c>
      <c r="L310" s="8" t="s">
        <v>34</v>
      </c>
      <c r="M310" s="8" t="s">
        <v>30</v>
      </c>
      <c r="N310" s="26">
        <v>41666</v>
      </c>
      <c r="O310" s="14">
        <v>2.6</v>
      </c>
      <c r="P310" s="8">
        <v>27</v>
      </c>
      <c r="Q310" s="19">
        <f t="shared" si="25"/>
        <v>70.2</v>
      </c>
      <c r="R310" s="20">
        <v>0.09</v>
      </c>
      <c r="S310" s="29">
        <f t="shared" si="22"/>
        <v>6.3179999999999996</v>
      </c>
      <c r="T310" s="20">
        <f t="shared" si="23"/>
        <v>63.882000000000005</v>
      </c>
      <c r="U310" s="21">
        <v>2.4</v>
      </c>
      <c r="V310" s="31">
        <f t="shared" si="24"/>
        <v>66.282000000000011</v>
      </c>
    </row>
    <row r="311" spans="1:22" x14ac:dyDescent="0.3">
      <c r="A311" s="6" t="s">
        <v>877</v>
      </c>
      <c r="B311" s="6">
        <f t="shared" si="21"/>
        <v>1</v>
      </c>
      <c r="C311" s="7">
        <v>41665</v>
      </c>
      <c r="D311" s="8" t="s">
        <v>878</v>
      </c>
      <c r="E311" s="8">
        <v>349350</v>
      </c>
      <c r="F311" s="8" t="s">
        <v>555</v>
      </c>
      <c r="G311" s="8" t="s">
        <v>58</v>
      </c>
      <c r="H311" s="8" t="s">
        <v>48</v>
      </c>
      <c r="I311" s="8" t="s">
        <v>40</v>
      </c>
      <c r="J311" s="8" t="s">
        <v>253</v>
      </c>
      <c r="K311" s="8" t="s">
        <v>243</v>
      </c>
      <c r="L311" s="8" t="s">
        <v>29</v>
      </c>
      <c r="M311" s="8" t="s">
        <v>30</v>
      </c>
      <c r="N311" s="26">
        <v>41672</v>
      </c>
      <c r="O311" s="14">
        <v>12.22</v>
      </c>
      <c r="P311" s="8">
        <v>19</v>
      </c>
      <c r="Q311" s="19">
        <f t="shared" si="25"/>
        <v>232.18</v>
      </c>
      <c r="R311" s="20">
        <v>0.09</v>
      </c>
      <c r="S311" s="29">
        <f t="shared" si="22"/>
        <v>20.8962</v>
      </c>
      <c r="T311" s="20">
        <f t="shared" si="23"/>
        <v>211.28380000000001</v>
      </c>
      <c r="U311" s="21">
        <v>2.85</v>
      </c>
      <c r="V311" s="31">
        <f t="shared" si="24"/>
        <v>214.13380000000001</v>
      </c>
    </row>
    <row r="312" spans="1:22" x14ac:dyDescent="0.3">
      <c r="A312" s="6" t="s">
        <v>879</v>
      </c>
      <c r="B312" s="6">
        <f t="shared" si="21"/>
        <v>1</v>
      </c>
      <c r="C312" s="7">
        <v>41665</v>
      </c>
      <c r="D312" s="8" t="s">
        <v>880</v>
      </c>
      <c r="E312" s="8">
        <v>35</v>
      </c>
      <c r="F312" s="8" t="s">
        <v>623</v>
      </c>
      <c r="G312" s="8" t="s">
        <v>24</v>
      </c>
      <c r="H312" s="8" t="s">
        <v>25</v>
      </c>
      <c r="I312" s="8" t="s">
        <v>60</v>
      </c>
      <c r="J312" s="8" t="s">
        <v>408</v>
      </c>
      <c r="K312" s="8" t="s">
        <v>28</v>
      </c>
      <c r="L312" s="8" t="s">
        <v>54</v>
      </c>
      <c r="M312" s="8" t="s">
        <v>30</v>
      </c>
      <c r="N312" s="26">
        <v>41666</v>
      </c>
      <c r="O312" s="14">
        <v>15.98</v>
      </c>
      <c r="P312" s="8">
        <v>8</v>
      </c>
      <c r="Q312" s="19">
        <f t="shared" si="25"/>
        <v>127.84</v>
      </c>
      <c r="R312" s="20">
        <v>0.04</v>
      </c>
      <c r="S312" s="29">
        <f t="shared" si="22"/>
        <v>5.1135999999999999</v>
      </c>
      <c r="T312" s="20">
        <f t="shared" si="23"/>
        <v>122.7264</v>
      </c>
      <c r="U312" s="21">
        <v>4</v>
      </c>
      <c r="V312" s="31">
        <f t="shared" si="24"/>
        <v>126.7264</v>
      </c>
    </row>
    <row r="313" spans="1:22" x14ac:dyDescent="0.3">
      <c r="A313" s="6" t="s">
        <v>881</v>
      </c>
      <c r="B313" s="6">
        <f t="shared" si="21"/>
        <v>1</v>
      </c>
      <c r="C313" s="7">
        <v>41666</v>
      </c>
      <c r="D313" s="8" t="s">
        <v>882</v>
      </c>
      <c r="E313" s="8">
        <v>35</v>
      </c>
      <c r="F313" s="8" t="s">
        <v>883</v>
      </c>
      <c r="G313" s="8" t="s">
        <v>58</v>
      </c>
      <c r="H313" s="8" t="s">
        <v>48</v>
      </c>
      <c r="I313" s="8" t="s">
        <v>136</v>
      </c>
      <c r="J313" s="8" t="s">
        <v>86</v>
      </c>
      <c r="K313" s="8" t="s">
        <v>33</v>
      </c>
      <c r="L313" s="8" t="s">
        <v>54</v>
      </c>
      <c r="M313" s="8" t="s">
        <v>30</v>
      </c>
      <c r="N313" s="26">
        <v>41666</v>
      </c>
      <c r="O313" s="14">
        <v>8.6</v>
      </c>
      <c r="P313" s="8">
        <v>4</v>
      </c>
      <c r="Q313" s="19">
        <f t="shared" si="25"/>
        <v>34.4</v>
      </c>
      <c r="R313" s="20">
        <v>0.04</v>
      </c>
      <c r="S313" s="29">
        <f t="shared" si="22"/>
        <v>1.3759999999999999</v>
      </c>
      <c r="T313" s="20">
        <f t="shared" si="23"/>
        <v>33.024000000000001</v>
      </c>
      <c r="U313" s="21">
        <v>6.19</v>
      </c>
      <c r="V313" s="31">
        <f t="shared" si="24"/>
        <v>39.213999999999999</v>
      </c>
    </row>
    <row r="314" spans="1:22" x14ac:dyDescent="0.3">
      <c r="A314" s="6" t="s">
        <v>884</v>
      </c>
      <c r="B314" s="6">
        <f t="shared" si="21"/>
        <v>1</v>
      </c>
      <c r="C314" s="7">
        <v>41668</v>
      </c>
      <c r="D314" s="8" t="s">
        <v>885</v>
      </c>
      <c r="E314" s="8">
        <v>35</v>
      </c>
      <c r="F314" s="8" t="s">
        <v>315</v>
      </c>
      <c r="G314" s="8" t="s">
        <v>38</v>
      </c>
      <c r="H314" s="8" t="s">
        <v>130</v>
      </c>
      <c r="I314" s="8" t="s">
        <v>136</v>
      </c>
      <c r="J314" s="8" t="s">
        <v>324</v>
      </c>
      <c r="K314" s="8" t="s">
        <v>33</v>
      </c>
      <c r="L314" s="8" t="s">
        <v>54</v>
      </c>
      <c r="M314" s="8" t="s">
        <v>30</v>
      </c>
      <c r="N314" s="26">
        <v>41671</v>
      </c>
      <c r="O314" s="14">
        <v>90.48</v>
      </c>
      <c r="P314" s="8">
        <v>27</v>
      </c>
      <c r="Q314" s="19">
        <f t="shared" si="25"/>
        <v>2442.96</v>
      </c>
      <c r="R314" s="20">
        <v>0</v>
      </c>
      <c r="S314" s="29">
        <f t="shared" si="22"/>
        <v>0</v>
      </c>
      <c r="T314" s="20">
        <f t="shared" si="23"/>
        <v>2442.96</v>
      </c>
      <c r="U314" s="21">
        <v>19.989999999999998</v>
      </c>
      <c r="V314" s="31">
        <f t="shared" si="24"/>
        <v>2462.9499999999998</v>
      </c>
    </row>
    <row r="315" spans="1:22" x14ac:dyDescent="0.3">
      <c r="A315" s="6" t="s">
        <v>886</v>
      </c>
      <c r="B315" s="6">
        <f t="shared" si="21"/>
        <v>1</v>
      </c>
      <c r="C315" s="7">
        <v>41669</v>
      </c>
      <c r="D315" s="8" t="s">
        <v>887</v>
      </c>
      <c r="E315" s="8">
        <v>351352</v>
      </c>
      <c r="F315" s="8" t="s">
        <v>186</v>
      </c>
      <c r="G315" s="8" t="s">
        <v>24</v>
      </c>
      <c r="H315" s="8" t="s">
        <v>39</v>
      </c>
      <c r="I315" s="8" t="s">
        <v>60</v>
      </c>
      <c r="J315" s="8" t="s">
        <v>465</v>
      </c>
      <c r="K315" s="8" t="s">
        <v>33</v>
      </c>
      <c r="L315" s="8" t="s">
        <v>54</v>
      </c>
      <c r="M315" s="8" t="s">
        <v>30</v>
      </c>
      <c r="N315" s="26">
        <v>41671</v>
      </c>
      <c r="O315" s="14">
        <v>20.98</v>
      </c>
      <c r="P315" s="8">
        <v>31</v>
      </c>
      <c r="Q315" s="19">
        <f t="shared" si="25"/>
        <v>650.38</v>
      </c>
      <c r="R315" s="20">
        <v>0.09</v>
      </c>
      <c r="S315" s="29">
        <f t="shared" si="22"/>
        <v>58.534199999999998</v>
      </c>
      <c r="T315" s="20">
        <f t="shared" si="23"/>
        <v>591.84580000000005</v>
      </c>
      <c r="U315" s="21">
        <v>1.49</v>
      </c>
      <c r="V315" s="31">
        <f t="shared" si="24"/>
        <v>593.33580000000006</v>
      </c>
    </row>
    <row r="316" spans="1:22" x14ac:dyDescent="0.3">
      <c r="A316" s="6" t="s">
        <v>888</v>
      </c>
      <c r="B316" s="6">
        <f t="shared" si="21"/>
        <v>1</v>
      </c>
      <c r="C316" s="7">
        <v>41669</v>
      </c>
      <c r="D316" s="8" t="s">
        <v>889</v>
      </c>
      <c r="E316" s="8">
        <v>353354</v>
      </c>
      <c r="F316" s="8" t="s">
        <v>397</v>
      </c>
      <c r="G316" s="8" t="s">
        <v>38</v>
      </c>
      <c r="H316" s="8" t="s">
        <v>99</v>
      </c>
      <c r="I316" s="8" t="s">
        <v>26</v>
      </c>
      <c r="J316" s="8" t="s">
        <v>217</v>
      </c>
      <c r="K316" s="8" t="s">
        <v>33</v>
      </c>
      <c r="L316" s="8" t="s">
        <v>34</v>
      </c>
      <c r="M316" s="8" t="s">
        <v>30</v>
      </c>
      <c r="N316" s="26">
        <v>41671</v>
      </c>
      <c r="O316" s="14">
        <v>5.43</v>
      </c>
      <c r="P316" s="8">
        <v>2</v>
      </c>
      <c r="Q316" s="19">
        <f t="shared" si="25"/>
        <v>10.86</v>
      </c>
      <c r="R316" s="20">
        <v>0.1</v>
      </c>
      <c r="S316" s="29">
        <f t="shared" si="22"/>
        <v>1.0860000000000001</v>
      </c>
      <c r="T316" s="20">
        <f t="shared" si="23"/>
        <v>9.7739999999999991</v>
      </c>
      <c r="U316" s="21">
        <v>0.95</v>
      </c>
      <c r="V316" s="31">
        <f t="shared" si="24"/>
        <v>10.723999999999998</v>
      </c>
    </row>
    <row r="317" spans="1:22" x14ac:dyDescent="0.3">
      <c r="A317" s="6" t="s">
        <v>890</v>
      </c>
      <c r="B317" s="6">
        <f t="shared" si="21"/>
        <v>1</v>
      </c>
      <c r="C317" s="7">
        <v>41672</v>
      </c>
      <c r="D317" s="8" t="s">
        <v>891</v>
      </c>
      <c r="E317" s="8">
        <v>3536</v>
      </c>
      <c r="F317" s="8" t="s">
        <v>774</v>
      </c>
      <c r="G317" s="8" t="s">
        <v>38</v>
      </c>
      <c r="H317" s="8" t="s">
        <v>48</v>
      </c>
      <c r="I317" s="8" t="s">
        <v>40</v>
      </c>
      <c r="J317" s="8" t="s">
        <v>485</v>
      </c>
      <c r="K317" s="8" t="s">
        <v>33</v>
      </c>
      <c r="L317" s="8" t="s">
        <v>54</v>
      </c>
      <c r="M317" s="8" t="s">
        <v>30</v>
      </c>
      <c r="N317" s="26">
        <v>41677</v>
      </c>
      <c r="O317" s="14">
        <v>3.69</v>
      </c>
      <c r="P317" s="8">
        <v>20</v>
      </c>
      <c r="Q317" s="19">
        <f t="shared" si="25"/>
        <v>73.8</v>
      </c>
      <c r="R317" s="20">
        <v>0.08</v>
      </c>
      <c r="S317" s="29">
        <f t="shared" si="22"/>
        <v>5.9039999999999999</v>
      </c>
      <c r="T317" s="20">
        <f t="shared" si="23"/>
        <v>67.896000000000001</v>
      </c>
      <c r="U317" s="21">
        <v>2.5</v>
      </c>
      <c r="V317" s="31">
        <f t="shared" si="24"/>
        <v>70.396000000000001</v>
      </c>
    </row>
    <row r="318" spans="1:22" x14ac:dyDescent="0.3">
      <c r="A318" s="6" t="s">
        <v>892</v>
      </c>
      <c r="B318" s="6">
        <f t="shared" si="21"/>
        <v>1</v>
      </c>
      <c r="C318" s="7">
        <v>41673</v>
      </c>
      <c r="D318" s="8" t="s">
        <v>893</v>
      </c>
      <c r="E318" s="8">
        <v>355356</v>
      </c>
      <c r="F318" s="8" t="s">
        <v>695</v>
      </c>
      <c r="G318" s="8" t="s">
        <v>38</v>
      </c>
      <c r="H318" s="8" t="s">
        <v>288</v>
      </c>
      <c r="I318" s="8" t="s">
        <v>60</v>
      </c>
      <c r="J318" s="8" t="s">
        <v>283</v>
      </c>
      <c r="K318" s="8" t="s">
        <v>28</v>
      </c>
      <c r="L318" s="8" t="s">
        <v>54</v>
      </c>
      <c r="M318" s="8" t="s">
        <v>30</v>
      </c>
      <c r="N318" s="26">
        <v>41674</v>
      </c>
      <c r="O318" s="14">
        <v>100.97</v>
      </c>
      <c r="P318" s="8">
        <v>15</v>
      </c>
      <c r="Q318" s="19">
        <f t="shared" si="25"/>
        <v>1514.55</v>
      </c>
      <c r="R318" s="20">
        <v>0.08</v>
      </c>
      <c r="S318" s="29">
        <f t="shared" si="22"/>
        <v>121.164</v>
      </c>
      <c r="T318" s="20">
        <f t="shared" si="23"/>
        <v>1393.386</v>
      </c>
      <c r="U318" s="21">
        <v>7.18</v>
      </c>
      <c r="V318" s="31">
        <f t="shared" si="24"/>
        <v>1400.566</v>
      </c>
    </row>
    <row r="319" spans="1:22" x14ac:dyDescent="0.3">
      <c r="A319" s="6" t="s">
        <v>894</v>
      </c>
      <c r="B319" s="6">
        <f t="shared" si="21"/>
        <v>1</v>
      </c>
      <c r="C319" s="7">
        <v>41675</v>
      </c>
      <c r="D319" s="8" t="s">
        <v>778</v>
      </c>
      <c r="E319" s="8">
        <v>307308</v>
      </c>
      <c r="F319" s="8" t="s">
        <v>370</v>
      </c>
      <c r="G319" s="8" t="s">
        <v>38</v>
      </c>
      <c r="H319" s="8" t="s">
        <v>130</v>
      </c>
      <c r="I319" s="8" t="s">
        <v>26</v>
      </c>
      <c r="J319" s="8" t="s">
        <v>137</v>
      </c>
      <c r="K319" s="8" t="s">
        <v>28</v>
      </c>
      <c r="L319" s="8" t="s">
        <v>138</v>
      </c>
      <c r="M319" s="8" t="s">
        <v>139</v>
      </c>
      <c r="N319" s="26">
        <v>41676</v>
      </c>
      <c r="O319" s="14">
        <v>449.99</v>
      </c>
      <c r="P319" s="8">
        <v>39</v>
      </c>
      <c r="Q319" s="19">
        <f t="shared" si="25"/>
        <v>17549.61</v>
      </c>
      <c r="R319" s="20">
        <v>0.08</v>
      </c>
      <c r="S319" s="29">
        <f t="shared" si="22"/>
        <v>1403.9688000000001</v>
      </c>
      <c r="T319" s="20">
        <f t="shared" si="23"/>
        <v>16145.6412</v>
      </c>
      <c r="U319" s="21">
        <v>49</v>
      </c>
      <c r="V319" s="31">
        <f t="shared" si="24"/>
        <v>16194.6412</v>
      </c>
    </row>
    <row r="320" spans="1:22" x14ac:dyDescent="0.3">
      <c r="A320" s="6" t="s">
        <v>102</v>
      </c>
      <c r="B320" s="6">
        <f t="shared" si="21"/>
        <v>1</v>
      </c>
      <c r="C320" s="7">
        <v>41677</v>
      </c>
      <c r="D320" s="8" t="s">
        <v>103</v>
      </c>
      <c r="E320" s="8">
        <v>107108</v>
      </c>
      <c r="F320" s="8" t="s">
        <v>104</v>
      </c>
      <c r="G320" s="8" t="s">
        <v>24</v>
      </c>
      <c r="H320" s="8" t="s">
        <v>74</v>
      </c>
      <c r="I320" s="8" t="s">
        <v>40</v>
      </c>
      <c r="J320" s="8" t="s">
        <v>105</v>
      </c>
      <c r="K320" s="8" t="s">
        <v>28</v>
      </c>
      <c r="L320" s="8" t="s">
        <v>106</v>
      </c>
      <c r="M320" s="8" t="s">
        <v>30</v>
      </c>
      <c r="N320" s="26">
        <v>41686</v>
      </c>
      <c r="O320" s="14">
        <v>599.99</v>
      </c>
      <c r="P320" s="8">
        <v>48</v>
      </c>
      <c r="Q320" s="19">
        <f t="shared" si="25"/>
        <v>28799.52</v>
      </c>
      <c r="R320" s="20">
        <v>0.08</v>
      </c>
      <c r="S320" s="29">
        <f t="shared" si="22"/>
        <v>2303.9616000000001</v>
      </c>
      <c r="T320" s="20">
        <f t="shared" si="23"/>
        <v>26495.558400000002</v>
      </c>
      <c r="U320" s="21">
        <v>24.49</v>
      </c>
      <c r="V320" s="31">
        <f t="shared" si="24"/>
        <v>26520.048400000003</v>
      </c>
    </row>
    <row r="321" spans="1:22" x14ac:dyDescent="0.3">
      <c r="A321" s="6" t="s">
        <v>107</v>
      </c>
      <c r="B321" s="6">
        <f t="shared" si="21"/>
        <v>1</v>
      </c>
      <c r="C321" s="7">
        <v>41677</v>
      </c>
      <c r="D321" s="8" t="s">
        <v>103</v>
      </c>
      <c r="E321" s="8">
        <v>107108</v>
      </c>
      <c r="F321" s="8" t="s">
        <v>104</v>
      </c>
      <c r="G321" s="8" t="s">
        <v>24</v>
      </c>
      <c r="H321" s="8" t="s">
        <v>74</v>
      </c>
      <c r="I321" s="8" t="s">
        <v>40</v>
      </c>
      <c r="J321" s="8" t="s">
        <v>108</v>
      </c>
      <c r="K321" s="8" t="s">
        <v>33</v>
      </c>
      <c r="L321" s="8" t="s">
        <v>34</v>
      </c>
      <c r="M321" s="8" t="s">
        <v>42</v>
      </c>
      <c r="N321" s="26">
        <v>41682</v>
      </c>
      <c r="O321" s="14">
        <v>3.98</v>
      </c>
      <c r="P321" s="8">
        <v>11</v>
      </c>
      <c r="Q321" s="19">
        <f t="shared" si="25"/>
        <v>43.78</v>
      </c>
      <c r="R321" s="20">
        <v>0.1</v>
      </c>
      <c r="S321" s="29">
        <f t="shared" si="22"/>
        <v>4.3780000000000001</v>
      </c>
      <c r="T321" s="20">
        <f t="shared" si="23"/>
        <v>39.402000000000001</v>
      </c>
      <c r="U321" s="21">
        <v>2.97</v>
      </c>
      <c r="V321" s="31">
        <f t="shared" si="24"/>
        <v>42.372</v>
      </c>
    </row>
    <row r="322" spans="1:22" x14ac:dyDescent="0.3">
      <c r="A322" s="6" t="s">
        <v>1096</v>
      </c>
      <c r="B322" s="6">
        <f t="shared" si="21"/>
        <v>1</v>
      </c>
      <c r="C322" s="7">
        <v>41677</v>
      </c>
      <c r="D322" s="8" t="s">
        <v>103</v>
      </c>
      <c r="E322" s="8">
        <v>223665.373628256</v>
      </c>
      <c r="F322" s="8" t="s">
        <v>104</v>
      </c>
      <c r="G322" s="8" t="s">
        <v>24</v>
      </c>
      <c r="H322" s="8" t="s">
        <v>74</v>
      </c>
      <c r="I322" s="8" t="s">
        <v>40</v>
      </c>
      <c r="J322" s="8" t="s">
        <v>105</v>
      </c>
      <c r="K322" s="8" t="s">
        <v>28</v>
      </c>
      <c r="L322" s="8" t="s">
        <v>106</v>
      </c>
      <c r="M322" s="8" t="s">
        <v>30</v>
      </c>
      <c r="N322" s="26">
        <v>41686</v>
      </c>
      <c r="O322" s="14">
        <v>56.700775713421102</v>
      </c>
      <c r="P322" s="8">
        <v>26.625352163224299</v>
      </c>
      <c r="Q322" s="19">
        <f t="shared" si="25"/>
        <v>1509.6781212978324</v>
      </c>
      <c r="R322" s="20">
        <v>4.9198136369346002E-2</v>
      </c>
      <c r="S322" s="29">
        <f t="shared" si="22"/>
        <v>74.273350085428831</v>
      </c>
      <c r="T322" s="20">
        <f t="shared" si="23"/>
        <v>1435.4047712124036</v>
      </c>
      <c r="U322" s="21">
        <v>7.30726765383843</v>
      </c>
      <c r="V322" s="31">
        <f t="shared" si="24"/>
        <v>1442.712038866242</v>
      </c>
    </row>
    <row r="323" spans="1:22" x14ac:dyDescent="0.3">
      <c r="A323" s="6" t="s">
        <v>1096</v>
      </c>
      <c r="B323" s="6">
        <f t="shared" ref="B323:B386" si="26">INT((MONTH(C323) +2)/3)</f>
        <v>1</v>
      </c>
      <c r="C323" s="7">
        <v>41677</v>
      </c>
      <c r="D323" s="8" t="s">
        <v>103</v>
      </c>
      <c r="E323" s="8">
        <v>223665.373628256</v>
      </c>
      <c r="F323" s="8" t="s">
        <v>104</v>
      </c>
      <c r="G323" s="8" t="s">
        <v>24</v>
      </c>
      <c r="H323" s="8" t="s">
        <v>74</v>
      </c>
      <c r="I323" s="8" t="s">
        <v>40</v>
      </c>
      <c r="J323" s="8" t="s">
        <v>105</v>
      </c>
      <c r="K323" s="8" t="s">
        <v>28</v>
      </c>
      <c r="L323" s="8" t="s">
        <v>106</v>
      </c>
      <c r="M323" s="8" t="s">
        <v>30</v>
      </c>
      <c r="N323" s="26">
        <v>41686</v>
      </c>
      <c r="O323" s="14">
        <v>56.700775713421102</v>
      </c>
      <c r="P323" s="8">
        <v>26.625352163224299</v>
      </c>
      <c r="Q323" s="19">
        <f t="shared" si="25"/>
        <v>1509.6781212978324</v>
      </c>
      <c r="R323" s="20">
        <v>4.9198136369346002E-2</v>
      </c>
      <c r="S323" s="29">
        <f t="shared" ref="S323:S386" si="27">PRODUCT(Q323,R323)</f>
        <v>74.273350085428831</v>
      </c>
      <c r="T323" s="20">
        <f t="shared" ref="T323:T386" si="28">SUM(Q323,-S323)</f>
        <v>1435.4047712124036</v>
      </c>
      <c r="U323" s="21">
        <v>7.30726765383843</v>
      </c>
      <c r="V323" s="31">
        <f t="shared" ref="V323:V386" si="29">SUM(T323,U323)</f>
        <v>1442.712038866242</v>
      </c>
    </row>
    <row r="324" spans="1:22" x14ac:dyDescent="0.3">
      <c r="A324" s="6" t="s">
        <v>1097</v>
      </c>
      <c r="B324" s="6">
        <f t="shared" si="26"/>
        <v>1</v>
      </c>
      <c r="C324" s="7">
        <v>41677</v>
      </c>
      <c r="D324" s="8" t="s">
        <v>103</v>
      </c>
      <c r="E324" s="8">
        <v>224053.30633086301</v>
      </c>
      <c r="F324" s="8" t="s">
        <v>104</v>
      </c>
      <c r="G324" s="8" t="s">
        <v>24</v>
      </c>
      <c r="H324" s="8" t="s">
        <v>74</v>
      </c>
      <c r="I324" s="8" t="s">
        <v>40</v>
      </c>
      <c r="J324" s="8" t="s">
        <v>108</v>
      </c>
      <c r="K324" s="8" t="s">
        <v>33</v>
      </c>
      <c r="L324" s="8" t="s">
        <v>34</v>
      </c>
      <c r="M324" s="8" t="s">
        <v>42</v>
      </c>
      <c r="N324" s="26">
        <v>41682</v>
      </c>
      <c r="O324" s="14">
        <v>56.746160532596399</v>
      </c>
      <c r="P324" s="8">
        <v>26.628413515889999</v>
      </c>
      <c r="Q324" s="19">
        <f t="shared" si="25"/>
        <v>1511.0602281010536</v>
      </c>
      <c r="R324" s="20">
        <v>4.9181886697651001E-2</v>
      </c>
      <c r="S324" s="29">
        <f t="shared" si="27"/>
        <v>74.316792931792691</v>
      </c>
      <c r="T324" s="20">
        <f t="shared" si="28"/>
        <v>1436.7434351692609</v>
      </c>
      <c r="U324" s="21">
        <v>7.3125285768119497</v>
      </c>
      <c r="V324" s="31">
        <f t="shared" si="29"/>
        <v>1444.0559637460728</v>
      </c>
    </row>
    <row r="325" spans="1:22" x14ac:dyDescent="0.3">
      <c r="A325" s="6" t="s">
        <v>1097</v>
      </c>
      <c r="B325" s="6">
        <f t="shared" si="26"/>
        <v>1</v>
      </c>
      <c r="C325" s="7">
        <v>41677</v>
      </c>
      <c r="D325" s="8" t="s">
        <v>103</v>
      </c>
      <c r="E325" s="8">
        <v>224053.30633086301</v>
      </c>
      <c r="F325" s="8" t="s">
        <v>104</v>
      </c>
      <c r="G325" s="8" t="s">
        <v>24</v>
      </c>
      <c r="H325" s="8" t="s">
        <v>74</v>
      </c>
      <c r="I325" s="8" t="s">
        <v>40</v>
      </c>
      <c r="J325" s="8" t="s">
        <v>108</v>
      </c>
      <c r="K325" s="8" t="s">
        <v>33</v>
      </c>
      <c r="L325" s="8" t="s">
        <v>34</v>
      </c>
      <c r="M325" s="8" t="s">
        <v>42</v>
      </c>
      <c r="N325" s="26">
        <v>41682</v>
      </c>
      <c r="O325" s="14">
        <v>56.746160532596399</v>
      </c>
      <c r="P325" s="8">
        <v>26.628413515889999</v>
      </c>
      <c r="Q325" s="19">
        <f t="shared" si="25"/>
        <v>1511.0602281010536</v>
      </c>
      <c r="R325" s="20">
        <v>4.9181886697651001E-2</v>
      </c>
      <c r="S325" s="29">
        <f t="shared" si="27"/>
        <v>74.316792931792691</v>
      </c>
      <c r="T325" s="20">
        <f t="shared" si="28"/>
        <v>1436.7434351692609</v>
      </c>
      <c r="U325" s="21">
        <v>7.3125285768119497</v>
      </c>
      <c r="V325" s="31">
        <f t="shared" si="29"/>
        <v>1444.0559637460728</v>
      </c>
    </row>
    <row r="326" spans="1:22" x14ac:dyDescent="0.3">
      <c r="A326" s="6" t="s">
        <v>895</v>
      </c>
      <c r="B326" s="6">
        <f t="shared" si="26"/>
        <v>1</v>
      </c>
      <c r="C326" s="7">
        <v>41679</v>
      </c>
      <c r="D326" s="8" t="s">
        <v>896</v>
      </c>
      <c r="E326" s="8">
        <v>357358</v>
      </c>
      <c r="F326" s="8" t="s">
        <v>740</v>
      </c>
      <c r="G326" s="8" t="s">
        <v>24</v>
      </c>
      <c r="H326" s="8" t="s">
        <v>25</v>
      </c>
      <c r="I326" s="8" t="s">
        <v>40</v>
      </c>
      <c r="J326" s="8" t="s">
        <v>112</v>
      </c>
      <c r="K326" s="8" t="s">
        <v>33</v>
      </c>
      <c r="L326" s="8" t="s">
        <v>54</v>
      </c>
      <c r="M326" s="8" t="s">
        <v>30</v>
      </c>
      <c r="N326" s="26">
        <v>41683</v>
      </c>
      <c r="O326" s="14">
        <v>3.58</v>
      </c>
      <c r="P326" s="8">
        <v>42</v>
      </c>
      <c r="Q326" s="19">
        <f t="shared" si="25"/>
        <v>150.36000000000001</v>
      </c>
      <c r="R326" s="20">
        <v>0.01</v>
      </c>
      <c r="S326" s="29">
        <f t="shared" si="27"/>
        <v>1.5036000000000003</v>
      </c>
      <c r="T326" s="20">
        <f t="shared" si="28"/>
        <v>148.85640000000001</v>
      </c>
      <c r="U326" s="21">
        <v>5.47</v>
      </c>
      <c r="V326" s="31">
        <f t="shared" si="29"/>
        <v>154.32640000000001</v>
      </c>
    </row>
    <row r="327" spans="1:22" x14ac:dyDescent="0.3">
      <c r="A327" s="6" t="s">
        <v>897</v>
      </c>
      <c r="B327" s="6">
        <f t="shared" si="26"/>
        <v>1</v>
      </c>
      <c r="C327" s="7">
        <v>41680</v>
      </c>
      <c r="D327" s="8" t="s">
        <v>898</v>
      </c>
      <c r="E327" s="8">
        <v>359360</v>
      </c>
      <c r="F327" s="8" t="s">
        <v>84</v>
      </c>
      <c r="G327" s="8" t="s">
        <v>38</v>
      </c>
      <c r="H327" s="8" t="s">
        <v>48</v>
      </c>
      <c r="I327" s="8" t="s">
        <v>60</v>
      </c>
      <c r="J327" s="8" t="s">
        <v>50</v>
      </c>
      <c r="K327" s="8" t="s">
        <v>28</v>
      </c>
      <c r="L327" s="8" t="s">
        <v>51</v>
      </c>
      <c r="M327" s="8" t="s">
        <v>30</v>
      </c>
      <c r="N327" s="26">
        <v>41681</v>
      </c>
      <c r="O327" s="14">
        <v>20.99</v>
      </c>
      <c r="P327" s="8">
        <v>42</v>
      </c>
      <c r="Q327" s="19">
        <f t="shared" si="25"/>
        <v>881.57999999999993</v>
      </c>
      <c r="R327" s="20">
        <v>7.0000000000000007E-2</v>
      </c>
      <c r="S327" s="29">
        <f t="shared" si="27"/>
        <v>61.710599999999999</v>
      </c>
      <c r="T327" s="20">
        <f t="shared" si="28"/>
        <v>819.86939999999993</v>
      </c>
      <c r="U327" s="21">
        <v>4.8099999999999996</v>
      </c>
      <c r="V327" s="31">
        <f t="shared" si="29"/>
        <v>824.67939999999987</v>
      </c>
    </row>
    <row r="328" spans="1:22" x14ac:dyDescent="0.3">
      <c r="A328" s="6" t="s">
        <v>899</v>
      </c>
      <c r="B328" s="6">
        <f t="shared" si="26"/>
        <v>1</v>
      </c>
      <c r="C328" s="7">
        <v>41680</v>
      </c>
      <c r="D328" s="8" t="s">
        <v>900</v>
      </c>
      <c r="E328" s="8">
        <v>36</v>
      </c>
      <c r="F328" s="8" t="s">
        <v>373</v>
      </c>
      <c r="G328" s="8" t="s">
        <v>58</v>
      </c>
      <c r="H328" s="8" t="s">
        <v>398</v>
      </c>
      <c r="I328" s="8" t="s">
        <v>40</v>
      </c>
      <c r="J328" s="8" t="s">
        <v>901</v>
      </c>
      <c r="K328" s="8" t="s">
        <v>33</v>
      </c>
      <c r="L328" s="8" t="s">
        <v>54</v>
      </c>
      <c r="M328" s="8" t="s">
        <v>42</v>
      </c>
      <c r="N328" s="26">
        <v>41682</v>
      </c>
      <c r="O328" s="14">
        <v>83.98</v>
      </c>
      <c r="P328" s="8">
        <v>9</v>
      </c>
      <c r="Q328" s="19">
        <f t="shared" si="25"/>
        <v>755.82</v>
      </c>
      <c r="R328" s="20">
        <v>0.05</v>
      </c>
      <c r="S328" s="29">
        <f t="shared" si="27"/>
        <v>37.791000000000004</v>
      </c>
      <c r="T328" s="20">
        <f t="shared" si="28"/>
        <v>718.029</v>
      </c>
      <c r="U328" s="21">
        <v>5.01</v>
      </c>
      <c r="V328" s="31">
        <f t="shared" si="29"/>
        <v>723.03899999999999</v>
      </c>
    </row>
    <row r="329" spans="1:22" x14ac:dyDescent="0.3">
      <c r="A329" s="6" t="s">
        <v>902</v>
      </c>
      <c r="B329" s="6">
        <f t="shared" si="26"/>
        <v>1</v>
      </c>
      <c r="C329" s="7">
        <v>41682</v>
      </c>
      <c r="D329" s="8" t="s">
        <v>903</v>
      </c>
      <c r="E329" s="8">
        <v>36</v>
      </c>
      <c r="F329" s="8" t="s">
        <v>904</v>
      </c>
      <c r="G329" s="8" t="s">
        <v>85</v>
      </c>
      <c r="H329" s="8" t="s">
        <v>130</v>
      </c>
      <c r="I329" s="8" t="s">
        <v>136</v>
      </c>
      <c r="J329" s="8" t="s">
        <v>137</v>
      </c>
      <c r="K329" s="8" t="s">
        <v>28</v>
      </c>
      <c r="L329" s="8" t="s">
        <v>106</v>
      </c>
      <c r="M329" s="8" t="s">
        <v>30</v>
      </c>
      <c r="N329" s="26">
        <v>41683</v>
      </c>
      <c r="O329" s="14">
        <v>449.99</v>
      </c>
      <c r="P329" s="8">
        <v>5</v>
      </c>
      <c r="Q329" s="19">
        <f t="shared" si="25"/>
        <v>2249.9499999999998</v>
      </c>
      <c r="R329" s="20">
        <v>0.02</v>
      </c>
      <c r="S329" s="29">
        <f t="shared" si="27"/>
        <v>44.998999999999995</v>
      </c>
      <c r="T329" s="20">
        <f t="shared" si="28"/>
        <v>2204.951</v>
      </c>
      <c r="U329" s="21">
        <v>24.49</v>
      </c>
      <c r="V329" s="31">
        <f t="shared" si="29"/>
        <v>2229.4409999999998</v>
      </c>
    </row>
    <row r="330" spans="1:22" x14ac:dyDescent="0.3">
      <c r="A330" s="6" t="s">
        <v>905</v>
      </c>
      <c r="B330" s="6">
        <f t="shared" si="26"/>
        <v>1</v>
      </c>
      <c r="C330" s="7">
        <v>41683</v>
      </c>
      <c r="D330" s="8" t="s">
        <v>528</v>
      </c>
      <c r="E330" s="8">
        <v>217218</v>
      </c>
      <c r="F330" s="8" t="s">
        <v>519</v>
      </c>
      <c r="G330" s="8" t="s">
        <v>58</v>
      </c>
      <c r="H330" s="8" t="s">
        <v>298</v>
      </c>
      <c r="I330" s="8" t="s">
        <v>136</v>
      </c>
      <c r="J330" s="8" t="s">
        <v>177</v>
      </c>
      <c r="K330" s="8" t="s">
        <v>33</v>
      </c>
      <c r="L330" s="8" t="s">
        <v>34</v>
      </c>
      <c r="M330" s="8" t="s">
        <v>30</v>
      </c>
      <c r="N330" s="26">
        <v>41683</v>
      </c>
      <c r="O330" s="14">
        <v>3.85</v>
      </c>
      <c r="P330" s="8">
        <v>31</v>
      </c>
      <c r="Q330" s="19">
        <f t="shared" si="25"/>
        <v>119.35000000000001</v>
      </c>
      <c r="R330" s="20">
        <v>0.09</v>
      </c>
      <c r="S330" s="29">
        <f t="shared" si="27"/>
        <v>10.7415</v>
      </c>
      <c r="T330" s="20">
        <f t="shared" si="28"/>
        <v>108.60850000000001</v>
      </c>
      <c r="U330" s="21">
        <v>0.7</v>
      </c>
      <c r="V330" s="31">
        <f t="shared" si="29"/>
        <v>109.30850000000001</v>
      </c>
    </row>
    <row r="331" spans="1:22" x14ac:dyDescent="0.3">
      <c r="A331" s="6" t="s">
        <v>906</v>
      </c>
      <c r="B331" s="6">
        <f t="shared" si="26"/>
        <v>1</v>
      </c>
      <c r="C331" s="7">
        <v>41685</v>
      </c>
      <c r="D331" s="8" t="s">
        <v>173</v>
      </c>
      <c r="E331" s="8">
        <v>12</v>
      </c>
      <c r="F331" s="8" t="s">
        <v>174</v>
      </c>
      <c r="G331" s="8" t="s">
        <v>85</v>
      </c>
      <c r="H331" s="8" t="s">
        <v>48</v>
      </c>
      <c r="I331" s="8" t="s">
        <v>26</v>
      </c>
      <c r="J331" s="8" t="s">
        <v>907</v>
      </c>
      <c r="K331" s="8" t="s">
        <v>33</v>
      </c>
      <c r="L331" s="8" t="s">
        <v>34</v>
      </c>
      <c r="M331" s="8" t="s">
        <v>30</v>
      </c>
      <c r="N331" s="26">
        <v>41686</v>
      </c>
      <c r="O331" s="14">
        <v>2.67</v>
      </c>
      <c r="P331" s="8">
        <v>19</v>
      </c>
      <c r="Q331" s="19">
        <f t="shared" si="25"/>
        <v>50.73</v>
      </c>
      <c r="R331" s="20">
        <v>0.03</v>
      </c>
      <c r="S331" s="29">
        <f t="shared" si="27"/>
        <v>1.5218999999999998</v>
      </c>
      <c r="T331" s="20">
        <f t="shared" si="28"/>
        <v>49.208099999999995</v>
      </c>
      <c r="U331" s="21">
        <v>0.86</v>
      </c>
      <c r="V331" s="31">
        <f t="shared" si="29"/>
        <v>50.068099999999994</v>
      </c>
    </row>
    <row r="332" spans="1:22" x14ac:dyDescent="0.3">
      <c r="A332" s="6" t="s">
        <v>908</v>
      </c>
      <c r="B332" s="6">
        <f t="shared" si="26"/>
        <v>1</v>
      </c>
      <c r="C332" s="7">
        <v>41685</v>
      </c>
      <c r="D332" s="8" t="s">
        <v>909</v>
      </c>
      <c r="E332" s="8">
        <v>361362</v>
      </c>
      <c r="F332" s="8" t="s">
        <v>155</v>
      </c>
      <c r="G332" s="8" t="s">
        <v>24</v>
      </c>
      <c r="H332" s="8" t="s">
        <v>25</v>
      </c>
      <c r="I332" s="8" t="s">
        <v>40</v>
      </c>
      <c r="J332" s="8" t="s">
        <v>910</v>
      </c>
      <c r="K332" s="8" t="s">
        <v>33</v>
      </c>
      <c r="L332" s="8" t="s">
        <v>34</v>
      </c>
      <c r="M332" s="8" t="s">
        <v>42</v>
      </c>
      <c r="N332" s="26">
        <v>41690</v>
      </c>
      <c r="O332" s="14">
        <v>3.28</v>
      </c>
      <c r="P332" s="8">
        <v>44</v>
      </c>
      <c r="Q332" s="19">
        <f t="shared" si="25"/>
        <v>144.32</v>
      </c>
      <c r="R332" s="20">
        <v>0</v>
      </c>
      <c r="S332" s="29">
        <f t="shared" si="27"/>
        <v>0</v>
      </c>
      <c r="T332" s="20">
        <f t="shared" si="28"/>
        <v>144.32</v>
      </c>
      <c r="U332" s="21">
        <v>0.98</v>
      </c>
      <c r="V332" s="31">
        <f t="shared" si="29"/>
        <v>145.29999999999998</v>
      </c>
    </row>
    <row r="333" spans="1:22" x14ac:dyDescent="0.3">
      <c r="A333" s="6" t="s">
        <v>911</v>
      </c>
      <c r="B333" s="6">
        <f t="shared" si="26"/>
        <v>1</v>
      </c>
      <c r="C333" s="7">
        <v>41686</v>
      </c>
      <c r="D333" s="8" t="s">
        <v>912</v>
      </c>
      <c r="E333" s="8">
        <v>363364</v>
      </c>
      <c r="F333" s="8" t="s">
        <v>356</v>
      </c>
      <c r="G333" s="8" t="s">
        <v>24</v>
      </c>
      <c r="H333" s="8" t="s">
        <v>74</v>
      </c>
      <c r="I333" s="8" t="s">
        <v>136</v>
      </c>
      <c r="J333" s="8" t="s">
        <v>50</v>
      </c>
      <c r="K333" s="8" t="s">
        <v>28</v>
      </c>
      <c r="L333" s="8" t="s">
        <v>51</v>
      </c>
      <c r="M333" s="8" t="s">
        <v>30</v>
      </c>
      <c r="N333" s="26">
        <v>41688</v>
      </c>
      <c r="O333" s="14">
        <v>20.99</v>
      </c>
      <c r="P333" s="8">
        <v>24</v>
      </c>
      <c r="Q333" s="19">
        <f t="shared" si="25"/>
        <v>503.76</v>
      </c>
      <c r="R333" s="20">
        <v>0.01</v>
      </c>
      <c r="S333" s="29">
        <f t="shared" si="27"/>
        <v>5.0376000000000003</v>
      </c>
      <c r="T333" s="20">
        <f t="shared" si="28"/>
        <v>498.72239999999999</v>
      </c>
      <c r="U333" s="21">
        <v>4.8099999999999996</v>
      </c>
      <c r="V333" s="31">
        <f t="shared" si="29"/>
        <v>503.5324</v>
      </c>
    </row>
    <row r="334" spans="1:22" x14ac:dyDescent="0.3">
      <c r="A334" s="6" t="s">
        <v>913</v>
      </c>
      <c r="B334" s="6">
        <f t="shared" si="26"/>
        <v>1</v>
      </c>
      <c r="C334" s="7">
        <v>41692</v>
      </c>
      <c r="D334" s="8" t="s">
        <v>737</v>
      </c>
      <c r="E334" s="8">
        <v>29</v>
      </c>
      <c r="F334" s="8" t="s">
        <v>383</v>
      </c>
      <c r="G334" s="8" t="s">
        <v>24</v>
      </c>
      <c r="H334" s="8" t="s">
        <v>99</v>
      </c>
      <c r="I334" s="8" t="s">
        <v>60</v>
      </c>
      <c r="J334" s="8" t="s">
        <v>187</v>
      </c>
      <c r="K334" s="8" t="s">
        <v>33</v>
      </c>
      <c r="L334" s="8" t="s">
        <v>29</v>
      </c>
      <c r="M334" s="8" t="s">
        <v>30</v>
      </c>
      <c r="N334" s="26">
        <v>41693</v>
      </c>
      <c r="O334" s="14">
        <v>10.23</v>
      </c>
      <c r="P334" s="8">
        <v>9</v>
      </c>
      <c r="Q334" s="19">
        <f t="shared" si="25"/>
        <v>92.070000000000007</v>
      </c>
      <c r="R334" s="20">
        <v>7.0000000000000007E-2</v>
      </c>
      <c r="S334" s="29">
        <f t="shared" si="27"/>
        <v>6.4449000000000014</v>
      </c>
      <c r="T334" s="20">
        <f t="shared" si="28"/>
        <v>85.625100000000003</v>
      </c>
      <c r="U334" s="21">
        <v>4.68</v>
      </c>
      <c r="V334" s="31">
        <f t="shared" si="29"/>
        <v>90.30510000000001</v>
      </c>
    </row>
    <row r="335" spans="1:22" x14ac:dyDescent="0.3">
      <c r="A335" s="6" t="s">
        <v>914</v>
      </c>
      <c r="B335" s="6">
        <f t="shared" si="26"/>
        <v>1</v>
      </c>
      <c r="C335" s="7">
        <v>41692</v>
      </c>
      <c r="D335" s="8" t="s">
        <v>915</v>
      </c>
      <c r="E335" s="8">
        <v>365366</v>
      </c>
      <c r="F335" s="8" t="s">
        <v>916</v>
      </c>
      <c r="G335" s="8" t="s">
        <v>58</v>
      </c>
      <c r="H335" s="8" t="s">
        <v>74</v>
      </c>
      <c r="I335" s="8" t="s">
        <v>136</v>
      </c>
      <c r="J335" s="8" t="s">
        <v>152</v>
      </c>
      <c r="K335" s="8" t="s">
        <v>33</v>
      </c>
      <c r="L335" s="8" t="s">
        <v>34</v>
      </c>
      <c r="M335" s="8" t="s">
        <v>30</v>
      </c>
      <c r="N335" s="26">
        <v>41693</v>
      </c>
      <c r="O335" s="14">
        <v>1.48</v>
      </c>
      <c r="P335" s="8">
        <v>46</v>
      </c>
      <c r="Q335" s="19">
        <f t="shared" si="25"/>
        <v>68.08</v>
      </c>
      <c r="R335" s="20">
        <v>0</v>
      </c>
      <c r="S335" s="29">
        <f t="shared" si="27"/>
        <v>0</v>
      </c>
      <c r="T335" s="20">
        <f t="shared" si="28"/>
        <v>68.08</v>
      </c>
      <c r="U335" s="21">
        <v>0.7</v>
      </c>
      <c r="V335" s="31">
        <f t="shared" si="29"/>
        <v>68.78</v>
      </c>
    </row>
    <row r="336" spans="1:22" x14ac:dyDescent="0.3">
      <c r="A336" s="6" t="s">
        <v>917</v>
      </c>
      <c r="B336" s="6">
        <f t="shared" si="26"/>
        <v>1</v>
      </c>
      <c r="C336" s="7">
        <v>41692</v>
      </c>
      <c r="D336" s="8" t="s">
        <v>688</v>
      </c>
      <c r="E336" s="8">
        <v>2728</v>
      </c>
      <c r="F336" s="8" t="s">
        <v>689</v>
      </c>
      <c r="G336" s="8" t="s">
        <v>24</v>
      </c>
      <c r="H336" s="8" t="s">
        <v>130</v>
      </c>
      <c r="I336" s="8" t="s">
        <v>136</v>
      </c>
      <c r="J336" s="8" t="s">
        <v>573</v>
      </c>
      <c r="K336" s="8" t="s">
        <v>33</v>
      </c>
      <c r="L336" s="8" t="s">
        <v>54</v>
      </c>
      <c r="M336" s="8" t="s">
        <v>30</v>
      </c>
      <c r="N336" s="26">
        <v>41693</v>
      </c>
      <c r="O336" s="14">
        <v>35.94</v>
      </c>
      <c r="P336" s="8">
        <v>13</v>
      </c>
      <c r="Q336" s="19">
        <f t="shared" si="25"/>
        <v>467.21999999999997</v>
      </c>
      <c r="R336" s="20">
        <v>0.03</v>
      </c>
      <c r="S336" s="29">
        <f t="shared" si="27"/>
        <v>14.016599999999999</v>
      </c>
      <c r="T336" s="20">
        <f t="shared" si="28"/>
        <v>453.20339999999999</v>
      </c>
      <c r="U336" s="21">
        <v>6.66</v>
      </c>
      <c r="V336" s="31">
        <f t="shared" si="29"/>
        <v>459.86340000000001</v>
      </c>
    </row>
    <row r="337" spans="1:22" x14ac:dyDescent="0.3">
      <c r="A337" s="6" t="s">
        <v>918</v>
      </c>
      <c r="B337" s="6">
        <f t="shared" si="26"/>
        <v>1</v>
      </c>
      <c r="C337" s="7">
        <v>41693</v>
      </c>
      <c r="D337" s="8" t="s">
        <v>919</v>
      </c>
      <c r="E337" s="8">
        <v>367368</v>
      </c>
      <c r="F337" s="8" t="s">
        <v>499</v>
      </c>
      <c r="G337" s="8" t="s">
        <v>38</v>
      </c>
      <c r="H337" s="8" t="s">
        <v>74</v>
      </c>
      <c r="I337" s="8" t="s">
        <v>26</v>
      </c>
      <c r="J337" s="8" t="s">
        <v>195</v>
      </c>
      <c r="K337" s="8" t="s">
        <v>28</v>
      </c>
      <c r="L337" s="8" t="s">
        <v>54</v>
      </c>
      <c r="M337" s="8" t="s">
        <v>30</v>
      </c>
      <c r="N337" s="26">
        <v>41696</v>
      </c>
      <c r="O337" s="14">
        <v>80.98</v>
      </c>
      <c r="P337" s="8">
        <v>45</v>
      </c>
      <c r="Q337" s="19">
        <f t="shared" si="25"/>
        <v>3644.1000000000004</v>
      </c>
      <c r="R337" s="20">
        <v>0</v>
      </c>
      <c r="S337" s="29">
        <f t="shared" si="27"/>
        <v>0</v>
      </c>
      <c r="T337" s="20">
        <f t="shared" si="28"/>
        <v>3644.1000000000004</v>
      </c>
      <c r="U337" s="21">
        <v>7.18</v>
      </c>
      <c r="V337" s="31">
        <f t="shared" si="29"/>
        <v>3651.28</v>
      </c>
    </row>
    <row r="338" spans="1:22" x14ac:dyDescent="0.3">
      <c r="A338" s="6" t="s">
        <v>920</v>
      </c>
      <c r="B338" s="6">
        <f t="shared" si="26"/>
        <v>1</v>
      </c>
      <c r="C338" s="7">
        <v>41694</v>
      </c>
      <c r="D338" s="8" t="s">
        <v>921</v>
      </c>
      <c r="E338" s="8">
        <v>369370</v>
      </c>
      <c r="F338" s="8" t="s">
        <v>428</v>
      </c>
      <c r="G338" s="8" t="s">
        <v>38</v>
      </c>
      <c r="H338" s="8" t="s">
        <v>130</v>
      </c>
      <c r="I338" s="8" t="s">
        <v>60</v>
      </c>
      <c r="J338" s="8" t="s">
        <v>577</v>
      </c>
      <c r="K338" s="8" t="s">
        <v>33</v>
      </c>
      <c r="L338" s="8" t="s">
        <v>54</v>
      </c>
      <c r="M338" s="8" t="s">
        <v>30</v>
      </c>
      <c r="N338" s="26">
        <v>41695</v>
      </c>
      <c r="O338" s="14">
        <v>4.49</v>
      </c>
      <c r="P338" s="8">
        <v>6</v>
      </c>
      <c r="Q338" s="19">
        <f t="shared" si="25"/>
        <v>26.94</v>
      </c>
      <c r="R338" s="20">
        <v>0.03</v>
      </c>
      <c r="S338" s="29">
        <f t="shared" si="27"/>
        <v>0.80820000000000003</v>
      </c>
      <c r="T338" s="20">
        <f t="shared" si="28"/>
        <v>26.131800000000002</v>
      </c>
      <c r="U338" s="21">
        <v>1.49</v>
      </c>
      <c r="V338" s="31">
        <f t="shared" si="29"/>
        <v>27.6218</v>
      </c>
    </row>
    <row r="339" spans="1:22" x14ac:dyDescent="0.3">
      <c r="A339" s="6" t="s">
        <v>922</v>
      </c>
      <c r="B339" s="6">
        <f t="shared" si="26"/>
        <v>1</v>
      </c>
      <c r="C339" s="7">
        <v>41694</v>
      </c>
      <c r="D339" s="8" t="s">
        <v>923</v>
      </c>
      <c r="E339" s="8">
        <v>37</v>
      </c>
      <c r="F339" s="8" t="s">
        <v>924</v>
      </c>
      <c r="G339" s="8" t="s">
        <v>38</v>
      </c>
      <c r="H339" s="8" t="s">
        <v>118</v>
      </c>
      <c r="I339" s="8" t="s">
        <v>49</v>
      </c>
      <c r="J339" s="8" t="s">
        <v>141</v>
      </c>
      <c r="K339" s="8" t="s">
        <v>33</v>
      </c>
      <c r="L339" s="8" t="s">
        <v>34</v>
      </c>
      <c r="M339" s="8" t="s">
        <v>30</v>
      </c>
      <c r="N339" s="26">
        <v>41696</v>
      </c>
      <c r="O339" s="14">
        <v>4</v>
      </c>
      <c r="P339" s="8">
        <v>33</v>
      </c>
      <c r="Q339" s="19">
        <f t="shared" si="25"/>
        <v>132</v>
      </c>
      <c r="R339" s="20">
        <v>0.08</v>
      </c>
      <c r="S339" s="29">
        <f t="shared" si="27"/>
        <v>10.56</v>
      </c>
      <c r="T339" s="20">
        <f t="shared" si="28"/>
        <v>121.44</v>
      </c>
      <c r="U339" s="21">
        <v>1.3</v>
      </c>
      <c r="V339" s="31">
        <f t="shared" si="29"/>
        <v>122.74</v>
      </c>
    </row>
    <row r="340" spans="1:22" x14ac:dyDescent="0.3">
      <c r="A340" s="6" t="s">
        <v>925</v>
      </c>
      <c r="B340" s="6">
        <f t="shared" si="26"/>
        <v>1</v>
      </c>
      <c r="C340" s="7">
        <v>41695</v>
      </c>
      <c r="D340" s="8" t="s">
        <v>926</v>
      </c>
      <c r="E340" s="8">
        <v>37</v>
      </c>
      <c r="F340" s="8" t="s">
        <v>373</v>
      </c>
      <c r="G340" s="8" t="s">
        <v>38</v>
      </c>
      <c r="H340" s="8" t="s">
        <v>48</v>
      </c>
      <c r="I340" s="8" t="s">
        <v>49</v>
      </c>
      <c r="J340" s="8" t="s">
        <v>910</v>
      </c>
      <c r="K340" s="8" t="s">
        <v>33</v>
      </c>
      <c r="L340" s="8" t="s">
        <v>34</v>
      </c>
      <c r="M340" s="8" t="s">
        <v>30</v>
      </c>
      <c r="N340" s="26">
        <v>41696</v>
      </c>
      <c r="O340" s="14">
        <v>3.28</v>
      </c>
      <c r="P340" s="8">
        <v>26</v>
      </c>
      <c r="Q340" s="19">
        <f t="shared" si="25"/>
        <v>85.28</v>
      </c>
      <c r="R340" s="20">
        <v>0.08</v>
      </c>
      <c r="S340" s="29">
        <f t="shared" si="27"/>
        <v>6.8224</v>
      </c>
      <c r="T340" s="20">
        <f t="shared" si="28"/>
        <v>78.457599999999999</v>
      </c>
      <c r="U340" s="21">
        <v>0.98</v>
      </c>
      <c r="V340" s="31">
        <f t="shared" si="29"/>
        <v>79.437600000000003</v>
      </c>
    </row>
    <row r="341" spans="1:22" x14ac:dyDescent="0.3">
      <c r="A341" s="6" t="s">
        <v>927</v>
      </c>
      <c r="B341" s="6">
        <f t="shared" si="26"/>
        <v>1</v>
      </c>
      <c r="C341" s="7">
        <v>41695</v>
      </c>
      <c r="D341" s="8" t="s">
        <v>817</v>
      </c>
      <c r="E341" s="8">
        <v>323324</v>
      </c>
      <c r="F341" s="8" t="s">
        <v>818</v>
      </c>
      <c r="G341" s="8" t="s">
        <v>85</v>
      </c>
      <c r="H341" s="8" t="s">
        <v>398</v>
      </c>
      <c r="I341" s="8" t="s">
        <v>60</v>
      </c>
      <c r="J341" s="8" t="s">
        <v>32</v>
      </c>
      <c r="K341" s="8" t="s">
        <v>33</v>
      </c>
      <c r="L341" s="8" t="s">
        <v>34</v>
      </c>
      <c r="M341" s="8" t="s">
        <v>30</v>
      </c>
      <c r="N341" s="26">
        <v>41697</v>
      </c>
      <c r="O341" s="14">
        <v>6.68</v>
      </c>
      <c r="P341" s="8">
        <v>33</v>
      </c>
      <c r="Q341" s="19">
        <f t="shared" ref="Q341:Q404" si="30">PRODUCT(O341,P341)</f>
        <v>220.44</v>
      </c>
      <c r="R341" s="20">
        <v>0.03</v>
      </c>
      <c r="S341" s="29">
        <f t="shared" si="27"/>
        <v>6.6132</v>
      </c>
      <c r="T341" s="20">
        <f t="shared" si="28"/>
        <v>213.82679999999999</v>
      </c>
      <c r="U341" s="21">
        <v>1.5</v>
      </c>
      <c r="V341" s="31">
        <f t="shared" si="29"/>
        <v>215.32679999999999</v>
      </c>
    </row>
    <row r="342" spans="1:22" x14ac:dyDescent="0.3">
      <c r="A342" s="6" t="s">
        <v>928</v>
      </c>
      <c r="B342" s="6">
        <f t="shared" si="26"/>
        <v>1</v>
      </c>
      <c r="C342" s="7">
        <v>41698</v>
      </c>
      <c r="D342" s="8" t="s">
        <v>929</v>
      </c>
      <c r="E342" s="8">
        <v>37</v>
      </c>
      <c r="F342" s="8" t="s">
        <v>306</v>
      </c>
      <c r="G342" s="8" t="s">
        <v>38</v>
      </c>
      <c r="H342" s="8" t="s">
        <v>25</v>
      </c>
      <c r="I342" s="8" t="s">
        <v>26</v>
      </c>
      <c r="J342" s="8" t="s">
        <v>307</v>
      </c>
      <c r="K342" s="8" t="s">
        <v>33</v>
      </c>
      <c r="L342" s="8" t="s">
        <v>34</v>
      </c>
      <c r="M342" s="8" t="s">
        <v>30</v>
      </c>
      <c r="N342" s="26">
        <v>41699</v>
      </c>
      <c r="O342" s="14">
        <v>2.1</v>
      </c>
      <c r="P342" s="8">
        <v>21</v>
      </c>
      <c r="Q342" s="19">
        <f t="shared" si="30"/>
        <v>44.1</v>
      </c>
      <c r="R342" s="20">
        <v>0.04</v>
      </c>
      <c r="S342" s="29">
        <f t="shared" si="27"/>
        <v>1.764</v>
      </c>
      <c r="T342" s="20">
        <f t="shared" si="28"/>
        <v>42.335999999999999</v>
      </c>
      <c r="U342" s="21">
        <v>0.7</v>
      </c>
      <c r="V342" s="31">
        <f t="shared" si="29"/>
        <v>43.036000000000001</v>
      </c>
    </row>
    <row r="343" spans="1:22" x14ac:dyDescent="0.3">
      <c r="A343" s="6" t="s">
        <v>930</v>
      </c>
      <c r="B343" s="6">
        <f t="shared" si="26"/>
        <v>1</v>
      </c>
      <c r="C343" s="7">
        <v>41700</v>
      </c>
      <c r="D343" s="8" t="s">
        <v>259</v>
      </c>
      <c r="E343" s="8">
        <v>14</v>
      </c>
      <c r="F343" s="8" t="s">
        <v>260</v>
      </c>
      <c r="G343" s="8" t="s">
        <v>85</v>
      </c>
      <c r="H343" s="8" t="s">
        <v>39</v>
      </c>
      <c r="I343" s="8" t="s">
        <v>26</v>
      </c>
      <c r="J343" s="8" t="s">
        <v>629</v>
      </c>
      <c r="K343" s="8" t="s">
        <v>33</v>
      </c>
      <c r="L343" s="8" t="s">
        <v>54</v>
      </c>
      <c r="M343" s="8" t="s">
        <v>30</v>
      </c>
      <c r="N343" s="26">
        <v>41701</v>
      </c>
      <c r="O343" s="14">
        <v>29.17</v>
      </c>
      <c r="P343" s="8">
        <v>1</v>
      </c>
      <c r="Q343" s="19">
        <f t="shared" si="30"/>
        <v>29.17</v>
      </c>
      <c r="R343" s="20">
        <v>0.02</v>
      </c>
      <c r="S343" s="29">
        <f t="shared" si="27"/>
        <v>0.58340000000000003</v>
      </c>
      <c r="T343" s="20">
        <f t="shared" si="28"/>
        <v>28.586600000000001</v>
      </c>
      <c r="U343" s="21">
        <v>6.27</v>
      </c>
      <c r="V343" s="31">
        <f t="shared" si="29"/>
        <v>34.8566</v>
      </c>
    </row>
    <row r="344" spans="1:22" x14ac:dyDescent="0.3">
      <c r="A344" s="6" t="s">
        <v>931</v>
      </c>
      <c r="B344" s="6">
        <f t="shared" si="26"/>
        <v>1</v>
      </c>
      <c r="C344" s="7">
        <v>41704</v>
      </c>
      <c r="D344" s="8" t="s">
        <v>932</v>
      </c>
      <c r="E344" s="8">
        <v>37</v>
      </c>
      <c r="F344" s="8" t="s">
        <v>933</v>
      </c>
      <c r="G344" s="8" t="s">
        <v>38</v>
      </c>
      <c r="H344" s="8" t="s">
        <v>48</v>
      </c>
      <c r="I344" s="8" t="s">
        <v>60</v>
      </c>
      <c r="J344" s="8" t="s">
        <v>249</v>
      </c>
      <c r="K344" s="8" t="s">
        <v>33</v>
      </c>
      <c r="L344" s="8" t="s">
        <v>54</v>
      </c>
      <c r="M344" s="8" t="s">
        <v>30</v>
      </c>
      <c r="N344" s="26">
        <v>41705</v>
      </c>
      <c r="O344" s="14">
        <v>10.89</v>
      </c>
      <c r="P344" s="8">
        <v>32</v>
      </c>
      <c r="Q344" s="19">
        <f t="shared" si="30"/>
        <v>348.48</v>
      </c>
      <c r="R344" s="20">
        <v>0.1</v>
      </c>
      <c r="S344" s="29">
        <f t="shared" si="27"/>
        <v>34.848000000000006</v>
      </c>
      <c r="T344" s="20">
        <f t="shared" si="28"/>
        <v>313.63200000000001</v>
      </c>
      <c r="U344" s="21">
        <v>4.5</v>
      </c>
      <c r="V344" s="31">
        <f t="shared" si="29"/>
        <v>318.13200000000001</v>
      </c>
    </row>
    <row r="345" spans="1:22" x14ac:dyDescent="0.3">
      <c r="A345" s="6" t="s">
        <v>934</v>
      </c>
      <c r="B345" s="6">
        <f t="shared" si="26"/>
        <v>1</v>
      </c>
      <c r="C345" s="7">
        <v>41708</v>
      </c>
      <c r="D345" s="8" t="s">
        <v>935</v>
      </c>
      <c r="E345" s="8">
        <v>371372</v>
      </c>
      <c r="F345" s="8" t="s">
        <v>620</v>
      </c>
      <c r="G345" s="8" t="s">
        <v>24</v>
      </c>
      <c r="H345" s="8" t="s">
        <v>39</v>
      </c>
      <c r="I345" s="8" t="s">
        <v>49</v>
      </c>
      <c r="J345" s="8" t="s">
        <v>610</v>
      </c>
      <c r="K345" s="8" t="s">
        <v>33</v>
      </c>
      <c r="L345" s="8" t="s">
        <v>54</v>
      </c>
      <c r="M345" s="8" t="s">
        <v>30</v>
      </c>
      <c r="N345" s="26">
        <v>41709</v>
      </c>
      <c r="O345" s="14">
        <v>3.08</v>
      </c>
      <c r="P345" s="8">
        <v>1</v>
      </c>
      <c r="Q345" s="19">
        <f t="shared" si="30"/>
        <v>3.08</v>
      </c>
      <c r="R345" s="20">
        <v>0.08</v>
      </c>
      <c r="S345" s="29">
        <f t="shared" si="27"/>
        <v>0.24640000000000001</v>
      </c>
      <c r="T345" s="20">
        <f t="shared" si="28"/>
        <v>2.8336000000000001</v>
      </c>
      <c r="U345" s="21">
        <v>0.99</v>
      </c>
      <c r="V345" s="31">
        <f t="shared" si="29"/>
        <v>3.8235999999999999</v>
      </c>
    </row>
    <row r="346" spans="1:22" x14ac:dyDescent="0.3">
      <c r="A346" s="6" t="s">
        <v>936</v>
      </c>
      <c r="B346" s="6">
        <f t="shared" si="26"/>
        <v>1</v>
      </c>
      <c r="C346" s="7">
        <v>41709</v>
      </c>
      <c r="D346" s="8" t="s">
        <v>491</v>
      </c>
      <c r="E346" s="8">
        <v>205206</v>
      </c>
      <c r="F346" s="8" t="s">
        <v>209</v>
      </c>
      <c r="G346" s="8" t="s">
        <v>24</v>
      </c>
      <c r="H346" s="8" t="s">
        <v>288</v>
      </c>
      <c r="I346" s="8" t="s">
        <v>26</v>
      </c>
      <c r="J346" s="8" t="s">
        <v>937</v>
      </c>
      <c r="K346" s="8" t="s">
        <v>33</v>
      </c>
      <c r="L346" s="8" t="s">
        <v>54</v>
      </c>
      <c r="M346" s="8" t="s">
        <v>30</v>
      </c>
      <c r="N346" s="26">
        <v>41710</v>
      </c>
      <c r="O346" s="14">
        <v>83.93</v>
      </c>
      <c r="P346" s="8">
        <v>50</v>
      </c>
      <c r="Q346" s="19">
        <f t="shared" si="30"/>
        <v>4196.5</v>
      </c>
      <c r="R346" s="20">
        <v>0.1</v>
      </c>
      <c r="S346" s="29">
        <f t="shared" si="27"/>
        <v>419.65000000000003</v>
      </c>
      <c r="T346" s="20">
        <f t="shared" si="28"/>
        <v>3776.85</v>
      </c>
      <c r="U346" s="21">
        <v>19.989999999999998</v>
      </c>
      <c r="V346" s="31">
        <f t="shared" si="29"/>
        <v>3796.8399999999997</v>
      </c>
    </row>
    <row r="347" spans="1:22" x14ac:dyDescent="0.3">
      <c r="A347" s="6" t="s">
        <v>938</v>
      </c>
      <c r="B347" s="6">
        <f t="shared" si="26"/>
        <v>1</v>
      </c>
      <c r="C347" s="7">
        <v>41710</v>
      </c>
      <c r="D347" s="8" t="s">
        <v>228</v>
      </c>
      <c r="E347" s="8">
        <v>131132</v>
      </c>
      <c r="F347" s="8" t="s">
        <v>229</v>
      </c>
      <c r="G347" s="8" t="s">
        <v>85</v>
      </c>
      <c r="H347" s="8" t="s">
        <v>130</v>
      </c>
      <c r="I347" s="8" t="s">
        <v>136</v>
      </c>
      <c r="J347" s="8" t="s">
        <v>496</v>
      </c>
      <c r="K347" s="8" t="s">
        <v>28</v>
      </c>
      <c r="L347" s="8" t="s">
        <v>54</v>
      </c>
      <c r="M347" s="8" t="s">
        <v>42</v>
      </c>
      <c r="N347" s="26">
        <v>41711</v>
      </c>
      <c r="O347" s="14">
        <v>100.98</v>
      </c>
      <c r="P347" s="8">
        <v>5</v>
      </c>
      <c r="Q347" s="19">
        <f t="shared" si="30"/>
        <v>504.90000000000003</v>
      </c>
      <c r="R347" s="20">
        <v>0.02</v>
      </c>
      <c r="S347" s="29">
        <f t="shared" si="27"/>
        <v>10.098000000000001</v>
      </c>
      <c r="T347" s="20">
        <f t="shared" si="28"/>
        <v>494.80200000000002</v>
      </c>
      <c r="U347" s="21">
        <v>7.18</v>
      </c>
      <c r="V347" s="31">
        <f t="shared" si="29"/>
        <v>501.98200000000003</v>
      </c>
    </row>
    <row r="348" spans="1:22" x14ac:dyDescent="0.3">
      <c r="A348" s="6" t="s">
        <v>939</v>
      </c>
      <c r="B348" s="6">
        <f t="shared" si="26"/>
        <v>1</v>
      </c>
      <c r="C348" s="7">
        <v>41711</v>
      </c>
      <c r="D348" s="8" t="s">
        <v>898</v>
      </c>
      <c r="E348" s="8">
        <v>359360</v>
      </c>
      <c r="F348" s="8" t="s">
        <v>84</v>
      </c>
      <c r="G348" s="8" t="s">
        <v>24</v>
      </c>
      <c r="H348" s="8" t="s">
        <v>48</v>
      </c>
      <c r="I348" s="8" t="s">
        <v>40</v>
      </c>
      <c r="J348" s="8" t="s">
        <v>458</v>
      </c>
      <c r="K348" s="8" t="s">
        <v>33</v>
      </c>
      <c r="L348" s="8" t="s">
        <v>34</v>
      </c>
      <c r="M348" s="8" t="s">
        <v>30</v>
      </c>
      <c r="N348" s="26">
        <v>41711</v>
      </c>
      <c r="O348" s="14">
        <v>7.08</v>
      </c>
      <c r="P348" s="8">
        <v>34</v>
      </c>
      <c r="Q348" s="19">
        <f t="shared" si="30"/>
        <v>240.72</v>
      </c>
      <c r="R348" s="20">
        <v>0.03</v>
      </c>
      <c r="S348" s="29">
        <f t="shared" si="27"/>
        <v>7.2215999999999996</v>
      </c>
      <c r="T348" s="20">
        <f t="shared" si="28"/>
        <v>233.4984</v>
      </c>
      <c r="U348" s="21">
        <v>2.35</v>
      </c>
      <c r="V348" s="31">
        <f t="shared" si="29"/>
        <v>235.8484</v>
      </c>
    </row>
    <row r="349" spans="1:22" x14ac:dyDescent="0.3">
      <c r="A349" s="6" t="s">
        <v>940</v>
      </c>
      <c r="B349" s="6">
        <f t="shared" si="26"/>
        <v>1</v>
      </c>
      <c r="C349" s="7">
        <v>41713</v>
      </c>
      <c r="D349" s="8" t="s">
        <v>322</v>
      </c>
      <c r="E349" s="8">
        <v>1516</v>
      </c>
      <c r="F349" s="8" t="s">
        <v>323</v>
      </c>
      <c r="G349" s="8" t="s">
        <v>38</v>
      </c>
      <c r="H349" s="8" t="s">
        <v>298</v>
      </c>
      <c r="I349" s="8" t="s">
        <v>60</v>
      </c>
      <c r="J349" s="8" t="s">
        <v>638</v>
      </c>
      <c r="K349" s="8" t="s">
        <v>33</v>
      </c>
      <c r="L349" s="8" t="s">
        <v>54</v>
      </c>
      <c r="M349" s="8" t="s">
        <v>30</v>
      </c>
      <c r="N349" s="26">
        <v>41713</v>
      </c>
      <c r="O349" s="14">
        <v>5.74</v>
      </c>
      <c r="P349" s="8">
        <v>45</v>
      </c>
      <c r="Q349" s="19">
        <f t="shared" si="30"/>
        <v>258.3</v>
      </c>
      <c r="R349" s="20">
        <v>0</v>
      </c>
      <c r="S349" s="29">
        <f t="shared" si="27"/>
        <v>0</v>
      </c>
      <c r="T349" s="20">
        <f t="shared" si="28"/>
        <v>258.3</v>
      </c>
      <c r="U349" s="21">
        <v>5.01</v>
      </c>
      <c r="V349" s="31">
        <f t="shared" si="29"/>
        <v>263.31</v>
      </c>
    </row>
    <row r="350" spans="1:22" x14ac:dyDescent="0.3">
      <c r="A350" s="6" t="s">
        <v>941</v>
      </c>
      <c r="B350" s="6">
        <f t="shared" si="26"/>
        <v>1</v>
      </c>
      <c r="C350" s="7">
        <v>41715</v>
      </c>
      <c r="D350" s="8" t="s">
        <v>942</v>
      </c>
      <c r="E350" s="8">
        <v>373374</v>
      </c>
      <c r="F350" s="8" t="s">
        <v>943</v>
      </c>
      <c r="G350" s="8" t="s">
        <v>85</v>
      </c>
      <c r="H350" s="8" t="s">
        <v>59</v>
      </c>
      <c r="I350" s="8" t="s">
        <v>60</v>
      </c>
      <c r="J350" s="8" t="s">
        <v>193</v>
      </c>
      <c r="K350" s="8" t="s">
        <v>33</v>
      </c>
      <c r="L350" s="8" t="s">
        <v>34</v>
      </c>
      <c r="M350" s="8" t="s">
        <v>30</v>
      </c>
      <c r="N350" s="26">
        <v>41716</v>
      </c>
      <c r="O350" s="14">
        <v>2.6</v>
      </c>
      <c r="P350" s="8">
        <v>43</v>
      </c>
      <c r="Q350" s="19">
        <f t="shared" si="30"/>
        <v>111.8</v>
      </c>
      <c r="R350" s="20">
        <v>0.01</v>
      </c>
      <c r="S350" s="29">
        <f t="shared" si="27"/>
        <v>1.1180000000000001</v>
      </c>
      <c r="T350" s="20">
        <f t="shared" si="28"/>
        <v>110.682</v>
      </c>
      <c r="U350" s="21">
        <v>2.4</v>
      </c>
      <c r="V350" s="31">
        <f t="shared" si="29"/>
        <v>113.08200000000001</v>
      </c>
    </row>
    <row r="351" spans="1:22" x14ac:dyDescent="0.3">
      <c r="A351" s="6" t="s">
        <v>944</v>
      </c>
      <c r="B351" s="6">
        <f t="shared" si="26"/>
        <v>1</v>
      </c>
      <c r="C351" s="7">
        <v>41715</v>
      </c>
      <c r="D351" s="8" t="s">
        <v>945</v>
      </c>
      <c r="E351" s="8">
        <v>3738</v>
      </c>
      <c r="F351" s="8" t="s">
        <v>531</v>
      </c>
      <c r="G351" s="8" t="s">
        <v>24</v>
      </c>
      <c r="H351" s="8" t="s">
        <v>298</v>
      </c>
      <c r="I351" s="8" t="s">
        <v>49</v>
      </c>
      <c r="J351" s="8" t="s">
        <v>492</v>
      </c>
      <c r="K351" s="8" t="s">
        <v>33</v>
      </c>
      <c r="L351" s="8" t="s">
        <v>54</v>
      </c>
      <c r="M351" s="8" t="s">
        <v>30</v>
      </c>
      <c r="N351" s="26">
        <v>41716</v>
      </c>
      <c r="O351" s="14">
        <v>29.74</v>
      </c>
      <c r="P351" s="8">
        <v>25</v>
      </c>
      <c r="Q351" s="19">
        <f t="shared" si="30"/>
        <v>743.5</v>
      </c>
      <c r="R351" s="20">
        <v>0</v>
      </c>
      <c r="S351" s="29">
        <f t="shared" si="27"/>
        <v>0</v>
      </c>
      <c r="T351" s="20">
        <f t="shared" si="28"/>
        <v>743.5</v>
      </c>
      <c r="U351" s="21">
        <v>6.64</v>
      </c>
      <c r="V351" s="31">
        <f t="shared" si="29"/>
        <v>750.14</v>
      </c>
    </row>
    <row r="352" spans="1:22" x14ac:dyDescent="0.3">
      <c r="A352" s="6" t="s">
        <v>946</v>
      </c>
      <c r="B352" s="6">
        <f t="shared" si="26"/>
        <v>1</v>
      </c>
      <c r="C352" s="7">
        <v>41715</v>
      </c>
      <c r="D352" s="8" t="s">
        <v>947</v>
      </c>
      <c r="E352" s="8">
        <v>375376</v>
      </c>
      <c r="F352" s="8" t="s">
        <v>393</v>
      </c>
      <c r="G352" s="8" t="s">
        <v>38</v>
      </c>
      <c r="H352" s="8" t="s">
        <v>74</v>
      </c>
      <c r="I352" s="8" t="s">
        <v>49</v>
      </c>
      <c r="J352" s="8" t="s">
        <v>948</v>
      </c>
      <c r="K352" s="8" t="s">
        <v>33</v>
      </c>
      <c r="L352" s="8" t="s">
        <v>54</v>
      </c>
      <c r="M352" s="8" t="s">
        <v>30</v>
      </c>
      <c r="N352" s="26">
        <v>41716</v>
      </c>
      <c r="O352" s="14">
        <v>35.44</v>
      </c>
      <c r="P352" s="8">
        <v>21</v>
      </c>
      <c r="Q352" s="19">
        <f t="shared" si="30"/>
        <v>744.24</v>
      </c>
      <c r="R352" s="20">
        <v>0</v>
      </c>
      <c r="S352" s="29">
        <f t="shared" si="27"/>
        <v>0</v>
      </c>
      <c r="T352" s="20">
        <f t="shared" si="28"/>
        <v>744.24</v>
      </c>
      <c r="U352" s="21">
        <v>4.92</v>
      </c>
      <c r="V352" s="31">
        <f t="shared" si="29"/>
        <v>749.16</v>
      </c>
    </row>
    <row r="353" spans="1:22" x14ac:dyDescent="0.3">
      <c r="A353" s="6" t="s">
        <v>949</v>
      </c>
      <c r="B353" s="6">
        <f t="shared" si="26"/>
        <v>1</v>
      </c>
      <c r="C353" s="7">
        <v>41717</v>
      </c>
      <c r="D353" s="8" t="s">
        <v>950</v>
      </c>
      <c r="E353" s="8">
        <v>377378</v>
      </c>
      <c r="F353" s="8" t="s">
        <v>641</v>
      </c>
      <c r="G353" s="8" t="s">
        <v>38</v>
      </c>
      <c r="H353" s="8" t="s">
        <v>48</v>
      </c>
      <c r="I353" s="8" t="s">
        <v>60</v>
      </c>
      <c r="J353" s="8" t="s">
        <v>112</v>
      </c>
      <c r="K353" s="8" t="s">
        <v>33</v>
      </c>
      <c r="L353" s="8" t="s">
        <v>54</v>
      </c>
      <c r="M353" s="8" t="s">
        <v>30</v>
      </c>
      <c r="N353" s="26">
        <v>41719</v>
      </c>
      <c r="O353" s="14">
        <v>3.58</v>
      </c>
      <c r="P353" s="8">
        <v>39</v>
      </c>
      <c r="Q353" s="19">
        <f t="shared" si="30"/>
        <v>139.62</v>
      </c>
      <c r="R353" s="20">
        <v>0</v>
      </c>
      <c r="S353" s="29">
        <f t="shared" si="27"/>
        <v>0</v>
      </c>
      <c r="T353" s="20">
        <f t="shared" si="28"/>
        <v>139.62</v>
      </c>
      <c r="U353" s="21">
        <v>5.47</v>
      </c>
      <c r="V353" s="31">
        <f t="shared" si="29"/>
        <v>145.09</v>
      </c>
    </row>
    <row r="354" spans="1:22" x14ac:dyDescent="0.3">
      <c r="A354" s="6" t="s">
        <v>951</v>
      </c>
      <c r="B354" s="6">
        <f t="shared" si="26"/>
        <v>1</v>
      </c>
      <c r="C354" s="7">
        <v>41719</v>
      </c>
      <c r="D354" s="8" t="s">
        <v>952</v>
      </c>
      <c r="E354" s="8">
        <v>379380</v>
      </c>
      <c r="F354" s="8" t="s">
        <v>774</v>
      </c>
      <c r="G354" s="8" t="s">
        <v>85</v>
      </c>
      <c r="H354" s="8" t="s">
        <v>398</v>
      </c>
      <c r="I354" s="8" t="s">
        <v>40</v>
      </c>
      <c r="J354" s="8" t="s">
        <v>610</v>
      </c>
      <c r="K354" s="8" t="s">
        <v>33</v>
      </c>
      <c r="L354" s="8" t="s">
        <v>54</v>
      </c>
      <c r="M354" s="8" t="s">
        <v>30</v>
      </c>
      <c r="N354" s="26">
        <v>41724</v>
      </c>
      <c r="O354" s="14">
        <v>3.08</v>
      </c>
      <c r="P354" s="8">
        <v>5</v>
      </c>
      <c r="Q354" s="19">
        <f t="shared" si="30"/>
        <v>15.4</v>
      </c>
      <c r="R354" s="20">
        <v>0.06</v>
      </c>
      <c r="S354" s="29">
        <f t="shared" si="27"/>
        <v>0.92399999999999993</v>
      </c>
      <c r="T354" s="20">
        <f t="shared" si="28"/>
        <v>14.476000000000001</v>
      </c>
      <c r="U354" s="21">
        <v>0.99</v>
      </c>
      <c r="V354" s="31">
        <f t="shared" si="29"/>
        <v>15.466000000000001</v>
      </c>
    </row>
    <row r="355" spans="1:22" x14ac:dyDescent="0.3">
      <c r="A355" s="6" t="s">
        <v>953</v>
      </c>
      <c r="B355" s="6">
        <f t="shared" si="26"/>
        <v>1</v>
      </c>
      <c r="C355" s="7">
        <v>41726</v>
      </c>
      <c r="D355" s="8" t="s">
        <v>857</v>
      </c>
      <c r="E355" s="8">
        <v>339340</v>
      </c>
      <c r="F355" s="8" t="s">
        <v>386</v>
      </c>
      <c r="G355" s="8" t="s">
        <v>38</v>
      </c>
      <c r="H355" s="8" t="s">
        <v>59</v>
      </c>
      <c r="I355" s="8" t="s">
        <v>136</v>
      </c>
      <c r="J355" s="8" t="s">
        <v>754</v>
      </c>
      <c r="K355" s="8" t="s">
        <v>33</v>
      </c>
      <c r="L355" s="8" t="s">
        <v>54</v>
      </c>
      <c r="M355" s="8" t="s">
        <v>30</v>
      </c>
      <c r="N355" s="26">
        <v>41726</v>
      </c>
      <c r="O355" s="14">
        <v>16.98</v>
      </c>
      <c r="P355" s="8">
        <v>31</v>
      </c>
      <c r="Q355" s="19">
        <f t="shared" si="30"/>
        <v>526.38</v>
      </c>
      <c r="R355" s="20">
        <v>0.03</v>
      </c>
      <c r="S355" s="29">
        <f t="shared" si="27"/>
        <v>15.791399999999999</v>
      </c>
      <c r="T355" s="20">
        <f t="shared" si="28"/>
        <v>510.58859999999999</v>
      </c>
      <c r="U355" s="21">
        <v>12.39</v>
      </c>
      <c r="V355" s="31">
        <f t="shared" si="29"/>
        <v>522.97860000000003</v>
      </c>
    </row>
    <row r="356" spans="1:22" x14ac:dyDescent="0.3">
      <c r="A356" s="6" t="s">
        <v>954</v>
      </c>
      <c r="B356" s="6">
        <f t="shared" si="26"/>
        <v>1</v>
      </c>
      <c r="C356" s="7">
        <v>41727</v>
      </c>
      <c r="D356" s="8" t="s">
        <v>955</v>
      </c>
      <c r="E356" s="8">
        <v>38</v>
      </c>
      <c r="F356" s="8" t="s">
        <v>683</v>
      </c>
      <c r="G356" s="8" t="s">
        <v>58</v>
      </c>
      <c r="H356" s="8" t="s">
        <v>398</v>
      </c>
      <c r="I356" s="8" t="s">
        <v>49</v>
      </c>
      <c r="J356" s="8" t="s">
        <v>119</v>
      </c>
      <c r="K356" s="8" t="s">
        <v>33</v>
      </c>
      <c r="L356" s="8" t="s">
        <v>54</v>
      </c>
      <c r="M356" s="8" t="s">
        <v>30</v>
      </c>
      <c r="N356" s="26">
        <v>41728</v>
      </c>
      <c r="O356" s="14">
        <v>7.3</v>
      </c>
      <c r="P356" s="8">
        <v>18</v>
      </c>
      <c r="Q356" s="19">
        <f t="shared" si="30"/>
        <v>131.4</v>
      </c>
      <c r="R356" s="20">
        <v>0.05</v>
      </c>
      <c r="S356" s="29">
        <f t="shared" si="27"/>
        <v>6.57</v>
      </c>
      <c r="T356" s="20">
        <f t="shared" si="28"/>
        <v>124.83000000000001</v>
      </c>
      <c r="U356" s="21">
        <v>7.72</v>
      </c>
      <c r="V356" s="31">
        <f t="shared" si="29"/>
        <v>132.55000000000001</v>
      </c>
    </row>
    <row r="357" spans="1:22" x14ac:dyDescent="0.3">
      <c r="A357" s="6" t="s">
        <v>956</v>
      </c>
      <c r="B357" s="6">
        <f t="shared" si="26"/>
        <v>1</v>
      </c>
      <c r="C357" s="7">
        <v>41729</v>
      </c>
      <c r="D357" s="8" t="s">
        <v>957</v>
      </c>
      <c r="E357" s="8">
        <v>38</v>
      </c>
      <c r="F357" s="8" t="s">
        <v>683</v>
      </c>
      <c r="G357" s="8" t="s">
        <v>85</v>
      </c>
      <c r="H357" s="8" t="s">
        <v>288</v>
      </c>
      <c r="I357" s="8" t="s">
        <v>49</v>
      </c>
      <c r="J357" s="8" t="s">
        <v>232</v>
      </c>
      <c r="K357" s="8" t="s">
        <v>33</v>
      </c>
      <c r="L357" s="8" t="s">
        <v>34</v>
      </c>
      <c r="M357" s="8" t="s">
        <v>30</v>
      </c>
      <c r="N357" s="26">
        <v>41729</v>
      </c>
      <c r="O357" s="14">
        <v>9.11</v>
      </c>
      <c r="P357" s="8">
        <v>1</v>
      </c>
      <c r="Q357" s="19">
        <f t="shared" si="30"/>
        <v>9.11</v>
      </c>
      <c r="R357" s="20">
        <v>0.1</v>
      </c>
      <c r="S357" s="29">
        <f t="shared" si="27"/>
        <v>0.91100000000000003</v>
      </c>
      <c r="T357" s="20">
        <f t="shared" si="28"/>
        <v>8.1989999999999998</v>
      </c>
      <c r="U357" s="21">
        <v>2.25</v>
      </c>
      <c r="V357" s="31">
        <f t="shared" si="29"/>
        <v>10.449</v>
      </c>
    </row>
    <row r="358" spans="1:22" x14ac:dyDescent="0.3">
      <c r="A358" s="6" t="s">
        <v>958</v>
      </c>
      <c r="B358" s="6">
        <f t="shared" si="26"/>
        <v>2</v>
      </c>
      <c r="C358" s="7">
        <v>41730</v>
      </c>
      <c r="D358" s="8" t="s">
        <v>97</v>
      </c>
      <c r="E358" s="8">
        <v>105106</v>
      </c>
      <c r="F358" s="8" t="s">
        <v>98</v>
      </c>
      <c r="G358" s="8" t="s">
        <v>58</v>
      </c>
      <c r="H358" s="8" t="s">
        <v>99</v>
      </c>
      <c r="I358" s="8" t="s">
        <v>60</v>
      </c>
      <c r="J358" s="8" t="s">
        <v>761</v>
      </c>
      <c r="K358" s="8" t="s">
        <v>33</v>
      </c>
      <c r="L358" s="8" t="s">
        <v>29</v>
      </c>
      <c r="M358" s="8" t="s">
        <v>30</v>
      </c>
      <c r="N358" s="26">
        <v>41731</v>
      </c>
      <c r="O358" s="14">
        <v>40.97</v>
      </c>
      <c r="P358" s="8">
        <v>44</v>
      </c>
      <c r="Q358" s="19">
        <f t="shared" si="30"/>
        <v>1802.6799999999998</v>
      </c>
      <c r="R358" s="20">
        <v>0.08</v>
      </c>
      <c r="S358" s="29">
        <f t="shared" si="27"/>
        <v>144.21439999999998</v>
      </c>
      <c r="T358" s="20">
        <f t="shared" si="28"/>
        <v>1658.4655999999998</v>
      </c>
      <c r="U358" s="21">
        <v>8.99</v>
      </c>
      <c r="V358" s="31">
        <f t="shared" si="29"/>
        <v>1667.4555999999998</v>
      </c>
    </row>
    <row r="359" spans="1:22" x14ac:dyDescent="0.3">
      <c r="A359" s="6" t="s">
        <v>959</v>
      </c>
      <c r="B359" s="6">
        <f t="shared" si="26"/>
        <v>2</v>
      </c>
      <c r="C359" s="7">
        <v>41731</v>
      </c>
      <c r="D359" s="8" t="s">
        <v>392</v>
      </c>
      <c r="E359" s="8">
        <v>173174</v>
      </c>
      <c r="F359" s="8" t="s">
        <v>393</v>
      </c>
      <c r="G359" s="8" t="s">
        <v>24</v>
      </c>
      <c r="H359" s="8" t="s">
        <v>48</v>
      </c>
      <c r="I359" s="8" t="s">
        <v>26</v>
      </c>
      <c r="J359" s="8" t="s">
        <v>960</v>
      </c>
      <c r="K359" s="8" t="s">
        <v>33</v>
      </c>
      <c r="L359" s="8" t="s">
        <v>54</v>
      </c>
      <c r="M359" s="8" t="s">
        <v>30</v>
      </c>
      <c r="N359" s="26">
        <v>41733</v>
      </c>
      <c r="O359" s="14">
        <v>20.98</v>
      </c>
      <c r="P359" s="8">
        <v>39</v>
      </c>
      <c r="Q359" s="19">
        <f t="shared" si="30"/>
        <v>818.22</v>
      </c>
      <c r="R359" s="20">
        <v>0.04</v>
      </c>
      <c r="S359" s="29">
        <f t="shared" si="27"/>
        <v>32.7288</v>
      </c>
      <c r="T359" s="20">
        <f t="shared" si="28"/>
        <v>785.49120000000005</v>
      </c>
      <c r="U359" s="21">
        <v>5.42</v>
      </c>
      <c r="V359" s="31">
        <f t="shared" si="29"/>
        <v>790.91120000000001</v>
      </c>
    </row>
    <row r="360" spans="1:22" x14ac:dyDescent="0.3">
      <c r="A360" s="6" t="s">
        <v>961</v>
      </c>
      <c r="B360" s="6">
        <f t="shared" si="26"/>
        <v>2</v>
      </c>
      <c r="C360" s="7">
        <v>41731</v>
      </c>
      <c r="D360" s="8" t="s">
        <v>962</v>
      </c>
      <c r="E360" s="8">
        <v>38</v>
      </c>
      <c r="F360" s="8" t="s">
        <v>542</v>
      </c>
      <c r="G360" s="8" t="s">
        <v>58</v>
      </c>
      <c r="H360" s="8" t="s">
        <v>92</v>
      </c>
      <c r="I360" s="8" t="s">
        <v>60</v>
      </c>
      <c r="J360" s="8" t="s">
        <v>201</v>
      </c>
      <c r="K360" s="8" t="s">
        <v>33</v>
      </c>
      <c r="L360" s="8" t="s">
        <v>29</v>
      </c>
      <c r="M360" s="8" t="s">
        <v>30</v>
      </c>
      <c r="N360" s="26">
        <v>41733</v>
      </c>
      <c r="O360" s="14">
        <v>3.57</v>
      </c>
      <c r="P360" s="8">
        <v>41</v>
      </c>
      <c r="Q360" s="19">
        <f t="shared" si="30"/>
        <v>146.37</v>
      </c>
      <c r="R360" s="20">
        <v>0.03</v>
      </c>
      <c r="S360" s="29">
        <f t="shared" si="27"/>
        <v>4.3910999999999998</v>
      </c>
      <c r="T360" s="20">
        <f t="shared" si="28"/>
        <v>141.97890000000001</v>
      </c>
      <c r="U360" s="21">
        <v>4.17</v>
      </c>
      <c r="V360" s="31">
        <f t="shared" si="29"/>
        <v>146.1489</v>
      </c>
    </row>
    <row r="361" spans="1:22" x14ac:dyDescent="0.3">
      <c r="A361" s="6" t="s">
        <v>963</v>
      </c>
      <c r="B361" s="6">
        <f t="shared" si="26"/>
        <v>2</v>
      </c>
      <c r="C361" s="7">
        <v>41732</v>
      </c>
      <c r="D361" s="8" t="s">
        <v>65</v>
      </c>
      <c r="E361" s="8">
        <v>10</v>
      </c>
      <c r="F361" s="8" t="s">
        <v>66</v>
      </c>
      <c r="G361" s="8" t="s">
        <v>58</v>
      </c>
      <c r="H361" s="8" t="s">
        <v>67</v>
      </c>
      <c r="I361" s="8" t="s">
        <v>26</v>
      </c>
      <c r="J361" s="8" t="s">
        <v>964</v>
      </c>
      <c r="K361" s="8" t="s">
        <v>33</v>
      </c>
      <c r="L361" s="8" t="s">
        <v>34</v>
      </c>
      <c r="M361" s="8" t="s">
        <v>30</v>
      </c>
      <c r="N361" s="26">
        <v>41734</v>
      </c>
      <c r="O361" s="14">
        <v>3.49</v>
      </c>
      <c r="P361" s="8">
        <v>46</v>
      </c>
      <c r="Q361" s="19">
        <f t="shared" si="30"/>
        <v>160.54000000000002</v>
      </c>
      <c r="R361" s="20">
        <v>0.01</v>
      </c>
      <c r="S361" s="29">
        <f t="shared" si="27"/>
        <v>1.6054000000000002</v>
      </c>
      <c r="T361" s="20">
        <f t="shared" si="28"/>
        <v>158.93460000000002</v>
      </c>
      <c r="U361" s="21">
        <v>0.76</v>
      </c>
      <c r="V361" s="31">
        <f t="shared" si="29"/>
        <v>159.69460000000001</v>
      </c>
    </row>
    <row r="362" spans="1:22" x14ac:dyDescent="0.3">
      <c r="A362" s="6" t="s">
        <v>965</v>
      </c>
      <c r="B362" s="6">
        <f t="shared" si="26"/>
        <v>2</v>
      </c>
      <c r="C362" s="7">
        <v>41733</v>
      </c>
      <c r="D362" s="8" t="s">
        <v>604</v>
      </c>
      <c r="E362" s="8">
        <v>241242</v>
      </c>
      <c r="F362" s="8" t="s">
        <v>149</v>
      </c>
      <c r="G362" s="8" t="s">
        <v>38</v>
      </c>
      <c r="H362" s="8" t="s">
        <v>74</v>
      </c>
      <c r="I362" s="8" t="s">
        <v>49</v>
      </c>
      <c r="J362" s="8" t="s">
        <v>477</v>
      </c>
      <c r="K362" s="8" t="s">
        <v>33</v>
      </c>
      <c r="L362" s="8" t="s">
        <v>54</v>
      </c>
      <c r="M362" s="8" t="s">
        <v>30</v>
      </c>
      <c r="N362" s="26">
        <v>41734</v>
      </c>
      <c r="O362" s="14">
        <v>6.3</v>
      </c>
      <c r="P362" s="8">
        <v>18</v>
      </c>
      <c r="Q362" s="19">
        <f t="shared" si="30"/>
        <v>113.39999999999999</v>
      </c>
      <c r="R362" s="20">
        <v>0.1</v>
      </c>
      <c r="S362" s="29">
        <f t="shared" si="27"/>
        <v>11.34</v>
      </c>
      <c r="T362" s="20">
        <f t="shared" si="28"/>
        <v>102.05999999999999</v>
      </c>
      <c r="U362" s="21">
        <v>0.5</v>
      </c>
      <c r="V362" s="31">
        <f t="shared" si="29"/>
        <v>102.55999999999999</v>
      </c>
    </row>
    <row r="363" spans="1:22" x14ac:dyDescent="0.3">
      <c r="A363" s="6" t="s">
        <v>966</v>
      </c>
      <c r="B363" s="6">
        <f t="shared" si="26"/>
        <v>2</v>
      </c>
      <c r="C363" s="7">
        <v>41735</v>
      </c>
      <c r="D363" s="8" t="s">
        <v>967</v>
      </c>
      <c r="E363" s="8">
        <v>38</v>
      </c>
      <c r="F363" s="8" t="s">
        <v>968</v>
      </c>
      <c r="G363" s="8" t="s">
        <v>24</v>
      </c>
      <c r="H363" s="8" t="s">
        <v>92</v>
      </c>
      <c r="I363" s="8" t="s">
        <v>40</v>
      </c>
      <c r="J363" s="8" t="s">
        <v>969</v>
      </c>
      <c r="K363" s="8" t="s">
        <v>33</v>
      </c>
      <c r="L363" s="8" t="s">
        <v>34</v>
      </c>
      <c r="M363" s="8" t="s">
        <v>30</v>
      </c>
      <c r="N363" s="26">
        <v>41740</v>
      </c>
      <c r="O363" s="14">
        <v>1.95</v>
      </c>
      <c r="P363" s="8">
        <v>31</v>
      </c>
      <c r="Q363" s="19">
        <f t="shared" si="30"/>
        <v>60.449999999999996</v>
      </c>
      <c r="R363" s="20">
        <v>0.02</v>
      </c>
      <c r="S363" s="29">
        <f t="shared" si="27"/>
        <v>1.2089999999999999</v>
      </c>
      <c r="T363" s="20">
        <f t="shared" si="28"/>
        <v>59.240999999999993</v>
      </c>
      <c r="U363" s="21">
        <v>1.63</v>
      </c>
      <c r="V363" s="31">
        <f t="shared" si="29"/>
        <v>60.870999999999995</v>
      </c>
    </row>
    <row r="364" spans="1:22" x14ac:dyDescent="0.3">
      <c r="A364" s="6" t="s">
        <v>970</v>
      </c>
      <c r="B364" s="6">
        <f t="shared" si="26"/>
        <v>2</v>
      </c>
      <c r="C364" s="7">
        <v>41736</v>
      </c>
      <c r="D364" s="8" t="s">
        <v>971</v>
      </c>
      <c r="E364" s="8">
        <v>38</v>
      </c>
      <c r="F364" s="8" t="s">
        <v>972</v>
      </c>
      <c r="G364" s="8" t="s">
        <v>24</v>
      </c>
      <c r="H364" s="8" t="s">
        <v>48</v>
      </c>
      <c r="I364" s="8" t="s">
        <v>60</v>
      </c>
      <c r="J364" s="8" t="s">
        <v>181</v>
      </c>
      <c r="K364" s="8" t="s">
        <v>33</v>
      </c>
      <c r="L364" s="8" t="s">
        <v>34</v>
      </c>
      <c r="M364" s="8" t="s">
        <v>30</v>
      </c>
      <c r="N364" s="26">
        <v>41736</v>
      </c>
      <c r="O364" s="14">
        <v>1.26</v>
      </c>
      <c r="P364" s="8">
        <v>35</v>
      </c>
      <c r="Q364" s="19">
        <f t="shared" si="30"/>
        <v>44.1</v>
      </c>
      <c r="R364" s="20">
        <v>0.09</v>
      </c>
      <c r="S364" s="29">
        <f t="shared" si="27"/>
        <v>3.9689999999999999</v>
      </c>
      <c r="T364" s="20">
        <f t="shared" si="28"/>
        <v>40.131</v>
      </c>
      <c r="U364" s="21">
        <v>0.7</v>
      </c>
      <c r="V364" s="31">
        <f t="shared" si="29"/>
        <v>40.831000000000003</v>
      </c>
    </row>
    <row r="365" spans="1:22" x14ac:dyDescent="0.3">
      <c r="A365" s="6" t="s">
        <v>973</v>
      </c>
      <c r="B365" s="6">
        <f t="shared" si="26"/>
        <v>2</v>
      </c>
      <c r="C365" s="7">
        <v>41736</v>
      </c>
      <c r="D365" s="8" t="s">
        <v>726</v>
      </c>
      <c r="E365" s="8">
        <v>289290</v>
      </c>
      <c r="F365" s="8" t="s">
        <v>727</v>
      </c>
      <c r="G365" s="8" t="s">
        <v>85</v>
      </c>
      <c r="H365" s="8" t="s">
        <v>398</v>
      </c>
      <c r="I365" s="8" t="s">
        <v>49</v>
      </c>
      <c r="J365" s="8" t="s">
        <v>974</v>
      </c>
      <c r="K365" s="8" t="s">
        <v>28</v>
      </c>
      <c r="L365" s="8" t="s">
        <v>138</v>
      </c>
      <c r="M365" s="8" t="s">
        <v>139</v>
      </c>
      <c r="N365" s="26">
        <v>41736</v>
      </c>
      <c r="O365" s="14">
        <v>500.97</v>
      </c>
      <c r="P365" s="8">
        <v>31</v>
      </c>
      <c r="Q365" s="19">
        <f t="shared" si="30"/>
        <v>15530.070000000002</v>
      </c>
      <c r="R365" s="20">
        <v>0.06</v>
      </c>
      <c r="S365" s="29">
        <f t="shared" si="27"/>
        <v>931.80420000000004</v>
      </c>
      <c r="T365" s="20">
        <f t="shared" si="28"/>
        <v>14598.265800000001</v>
      </c>
      <c r="U365" s="21">
        <v>69.3</v>
      </c>
      <c r="V365" s="31">
        <f t="shared" si="29"/>
        <v>14667.5658</v>
      </c>
    </row>
    <row r="366" spans="1:22" x14ac:dyDescent="0.3">
      <c r="A366" s="6" t="s">
        <v>975</v>
      </c>
      <c r="B366" s="6">
        <f t="shared" si="26"/>
        <v>2</v>
      </c>
      <c r="C366" s="7">
        <v>41736</v>
      </c>
      <c r="D366" s="8" t="s">
        <v>267</v>
      </c>
      <c r="E366" s="8">
        <v>14</v>
      </c>
      <c r="F366" s="8" t="s">
        <v>268</v>
      </c>
      <c r="G366" s="8" t="s">
        <v>24</v>
      </c>
      <c r="H366" s="8" t="s">
        <v>25</v>
      </c>
      <c r="I366" s="8" t="s">
        <v>26</v>
      </c>
      <c r="J366" s="8" t="s">
        <v>105</v>
      </c>
      <c r="K366" s="8" t="s">
        <v>28</v>
      </c>
      <c r="L366" s="8" t="s">
        <v>106</v>
      </c>
      <c r="M366" s="8" t="s">
        <v>30</v>
      </c>
      <c r="N366" s="26">
        <v>41738</v>
      </c>
      <c r="O366" s="14">
        <v>599.99</v>
      </c>
      <c r="P366" s="8">
        <v>30</v>
      </c>
      <c r="Q366" s="19">
        <f t="shared" si="30"/>
        <v>17999.7</v>
      </c>
      <c r="R366" s="20">
        <v>0.09</v>
      </c>
      <c r="S366" s="29">
        <f t="shared" si="27"/>
        <v>1619.973</v>
      </c>
      <c r="T366" s="20">
        <f t="shared" si="28"/>
        <v>16379.727000000001</v>
      </c>
      <c r="U366" s="21">
        <v>24.49</v>
      </c>
      <c r="V366" s="31">
        <f t="shared" si="29"/>
        <v>16404.217000000001</v>
      </c>
    </row>
    <row r="367" spans="1:22" x14ac:dyDescent="0.3">
      <c r="A367" s="6" t="s">
        <v>976</v>
      </c>
      <c r="B367" s="6">
        <f t="shared" si="26"/>
        <v>2</v>
      </c>
      <c r="C367" s="7">
        <v>41740</v>
      </c>
      <c r="D367" s="8" t="s">
        <v>977</v>
      </c>
      <c r="E367" s="8">
        <v>381382</v>
      </c>
      <c r="F367" s="8" t="s">
        <v>464</v>
      </c>
      <c r="G367" s="8" t="s">
        <v>38</v>
      </c>
      <c r="H367" s="8" t="s">
        <v>25</v>
      </c>
      <c r="I367" s="8" t="s">
        <v>26</v>
      </c>
      <c r="J367" s="8" t="s">
        <v>193</v>
      </c>
      <c r="K367" s="8" t="s">
        <v>33</v>
      </c>
      <c r="L367" s="8" t="s">
        <v>34</v>
      </c>
      <c r="M367" s="8" t="s">
        <v>30</v>
      </c>
      <c r="N367" s="26">
        <v>41741</v>
      </c>
      <c r="O367" s="14">
        <v>2.6</v>
      </c>
      <c r="P367" s="8">
        <v>2</v>
      </c>
      <c r="Q367" s="19">
        <f t="shared" si="30"/>
        <v>5.2</v>
      </c>
      <c r="R367" s="20">
        <v>0.03</v>
      </c>
      <c r="S367" s="29">
        <f t="shared" si="27"/>
        <v>0.156</v>
      </c>
      <c r="T367" s="20">
        <f t="shared" si="28"/>
        <v>5.0440000000000005</v>
      </c>
      <c r="U367" s="21">
        <v>2.4</v>
      </c>
      <c r="V367" s="31">
        <f t="shared" si="29"/>
        <v>7.4440000000000008</v>
      </c>
    </row>
    <row r="368" spans="1:22" x14ac:dyDescent="0.3">
      <c r="A368" s="6" t="s">
        <v>978</v>
      </c>
      <c r="B368" s="6">
        <f t="shared" si="26"/>
        <v>2</v>
      </c>
      <c r="C368" s="7">
        <v>41744</v>
      </c>
      <c r="D368" s="8" t="s">
        <v>979</v>
      </c>
      <c r="E368" s="8">
        <v>383384</v>
      </c>
      <c r="F368" s="8" t="s">
        <v>980</v>
      </c>
      <c r="G368" s="8" t="s">
        <v>24</v>
      </c>
      <c r="H368" s="8" t="s">
        <v>39</v>
      </c>
      <c r="I368" s="8" t="s">
        <v>136</v>
      </c>
      <c r="J368" s="8" t="s">
        <v>593</v>
      </c>
      <c r="K368" s="8" t="s">
        <v>28</v>
      </c>
      <c r="L368" s="8" t="s">
        <v>54</v>
      </c>
      <c r="M368" s="8" t="s">
        <v>30</v>
      </c>
      <c r="N368" s="26">
        <v>41745</v>
      </c>
      <c r="O368" s="14">
        <v>30.98</v>
      </c>
      <c r="P368" s="8">
        <v>36</v>
      </c>
      <c r="Q368" s="19">
        <f t="shared" si="30"/>
        <v>1115.28</v>
      </c>
      <c r="R368" s="20">
        <v>0</v>
      </c>
      <c r="S368" s="29">
        <f t="shared" si="27"/>
        <v>0</v>
      </c>
      <c r="T368" s="20">
        <f t="shared" si="28"/>
        <v>1115.28</v>
      </c>
      <c r="U368" s="21">
        <v>6.5</v>
      </c>
      <c r="V368" s="31">
        <f t="shared" si="29"/>
        <v>1121.78</v>
      </c>
    </row>
    <row r="369" spans="1:22" x14ac:dyDescent="0.3">
      <c r="A369" s="6" t="s">
        <v>981</v>
      </c>
      <c r="B369" s="6">
        <f t="shared" si="26"/>
        <v>2</v>
      </c>
      <c r="C369" s="7">
        <v>41746</v>
      </c>
      <c r="D369" s="8" t="s">
        <v>982</v>
      </c>
      <c r="E369" s="8">
        <v>385386</v>
      </c>
      <c r="F369" s="8" t="s">
        <v>209</v>
      </c>
      <c r="G369" s="8" t="s">
        <v>58</v>
      </c>
      <c r="H369" s="8" t="s">
        <v>74</v>
      </c>
      <c r="I369" s="8" t="s">
        <v>136</v>
      </c>
      <c r="J369" s="8" t="s">
        <v>289</v>
      </c>
      <c r="K369" s="8" t="s">
        <v>33</v>
      </c>
      <c r="L369" s="8" t="s">
        <v>54</v>
      </c>
      <c r="M369" s="8" t="s">
        <v>30</v>
      </c>
      <c r="N369" s="26">
        <v>41748</v>
      </c>
      <c r="O369" s="14">
        <v>7.28</v>
      </c>
      <c r="P369" s="8">
        <v>11</v>
      </c>
      <c r="Q369" s="19">
        <f t="shared" si="30"/>
        <v>80.08</v>
      </c>
      <c r="R369" s="20">
        <v>7.0000000000000007E-2</v>
      </c>
      <c r="S369" s="29">
        <f t="shared" si="27"/>
        <v>5.6056000000000008</v>
      </c>
      <c r="T369" s="20">
        <f t="shared" si="28"/>
        <v>74.474400000000003</v>
      </c>
      <c r="U369" s="21">
        <v>11.15</v>
      </c>
      <c r="V369" s="31">
        <f t="shared" si="29"/>
        <v>85.624400000000009</v>
      </c>
    </row>
    <row r="370" spans="1:22" x14ac:dyDescent="0.3">
      <c r="A370" s="6" t="s">
        <v>983</v>
      </c>
      <c r="B370" s="6">
        <f t="shared" si="26"/>
        <v>2</v>
      </c>
      <c r="C370" s="7">
        <v>41746</v>
      </c>
      <c r="D370" s="8" t="s">
        <v>984</v>
      </c>
      <c r="E370" s="8">
        <v>387388</v>
      </c>
      <c r="F370" s="8" t="s">
        <v>338</v>
      </c>
      <c r="G370" s="8" t="s">
        <v>85</v>
      </c>
      <c r="H370" s="8" t="s">
        <v>74</v>
      </c>
      <c r="I370" s="8" t="s">
        <v>26</v>
      </c>
      <c r="J370" s="8" t="s">
        <v>187</v>
      </c>
      <c r="K370" s="8" t="s">
        <v>33</v>
      </c>
      <c r="L370" s="8" t="s">
        <v>29</v>
      </c>
      <c r="M370" s="8" t="s">
        <v>30</v>
      </c>
      <c r="N370" s="26">
        <v>41747</v>
      </c>
      <c r="O370" s="14">
        <v>10.23</v>
      </c>
      <c r="P370" s="8">
        <v>22</v>
      </c>
      <c r="Q370" s="19">
        <f t="shared" si="30"/>
        <v>225.06</v>
      </c>
      <c r="R370" s="20">
        <v>7.0000000000000007E-2</v>
      </c>
      <c r="S370" s="29">
        <f t="shared" si="27"/>
        <v>15.754200000000001</v>
      </c>
      <c r="T370" s="20">
        <f t="shared" si="28"/>
        <v>209.3058</v>
      </c>
      <c r="U370" s="21">
        <v>4.68</v>
      </c>
      <c r="V370" s="31">
        <f t="shared" si="29"/>
        <v>213.98580000000001</v>
      </c>
    </row>
    <row r="371" spans="1:22" x14ac:dyDescent="0.3">
      <c r="A371" s="6" t="s">
        <v>985</v>
      </c>
      <c r="B371" s="6">
        <f t="shared" si="26"/>
        <v>2</v>
      </c>
      <c r="C371" s="7">
        <v>41746</v>
      </c>
      <c r="D371" s="8" t="s">
        <v>986</v>
      </c>
      <c r="E371" s="8">
        <v>389390</v>
      </c>
      <c r="F371" s="8" t="s">
        <v>215</v>
      </c>
      <c r="G371" s="8" t="s">
        <v>38</v>
      </c>
      <c r="H371" s="8" t="s">
        <v>346</v>
      </c>
      <c r="I371" s="8" t="s">
        <v>60</v>
      </c>
      <c r="J371" s="8" t="s">
        <v>347</v>
      </c>
      <c r="K371" s="8" t="s">
        <v>33</v>
      </c>
      <c r="L371" s="8" t="s">
        <v>29</v>
      </c>
      <c r="M371" s="8" t="s">
        <v>42</v>
      </c>
      <c r="N371" s="26">
        <v>41747</v>
      </c>
      <c r="O371" s="14">
        <v>8.34</v>
      </c>
      <c r="P371" s="8">
        <v>16</v>
      </c>
      <c r="Q371" s="19">
        <f t="shared" si="30"/>
        <v>133.44</v>
      </c>
      <c r="R371" s="20">
        <v>0.04</v>
      </c>
      <c r="S371" s="29">
        <f t="shared" si="27"/>
        <v>5.3376000000000001</v>
      </c>
      <c r="T371" s="20">
        <f t="shared" si="28"/>
        <v>128.10239999999999</v>
      </c>
      <c r="U371" s="21">
        <v>2.64</v>
      </c>
      <c r="V371" s="31">
        <f t="shared" si="29"/>
        <v>130.74239999999998</v>
      </c>
    </row>
    <row r="372" spans="1:22" x14ac:dyDescent="0.3">
      <c r="A372" s="6" t="s">
        <v>987</v>
      </c>
      <c r="B372" s="6">
        <f t="shared" si="26"/>
        <v>2</v>
      </c>
      <c r="C372" s="7">
        <v>41761</v>
      </c>
      <c r="D372" s="8" t="s">
        <v>988</v>
      </c>
      <c r="E372" s="8">
        <v>39</v>
      </c>
      <c r="F372" s="8" t="s">
        <v>989</v>
      </c>
      <c r="G372" s="8" t="s">
        <v>58</v>
      </c>
      <c r="H372" s="8" t="s">
        <v>398</v>
      </c>
      <c r="I372" s="8" t="s">
        <v>40</v>
      </c>
      <c r="J372" s="8" t="s">
        <v>990</v>
      </c>
      <c r="K372" s="8" t="s">
        <v>33</v>
      </c>
      <c r="L372" s="8" t="s">
        <v>54</v>
      </c>
      <c r="M372" s="8" t="s">
        <v>30</v>
      </c>
      <c r="N372" s="26">
        <v>41763</v>
      </c>
      <c r="O372" s="14">
        <v>210.55</v>
      </c>
      <c r="P372" s="8">
        <v>32</v>
      </c>
      <c r="Q372" s="19">
        <f t="shared" si="30"/>
        <v>6737.6</v>
      </c>
      <c r="R372" s="20">
        <v>0.1</v>
      </c>
      <c r="S372" s="29">
        <f t="shared" si="27"/>
        <v>673.7600000000001</v>
      </c>
      <c r="T372" s="20">
        <f t="shared" si="28"/>
        <v>6063.84</v>
      </c>
      <c r="U372" s="21">
        <v>9.99</v>
      </c>
      <c r="V372" s="31">
        <f t="shared" si="29"/>
        <v>6073.83</v>
      </c>
    </row>
    <row r="373" spans="1:22" x14ac:dyDescent="0.3">
      <c r="A373" s="6" t="s">
        <v>991</v>
      </c>
      <c r="B373" s="6">
        <f t="shared" si="26"/>
        <v>2</v>
      </c>
      <c r="C373" s="7">
        <v>41761</v>
      </c>
      <c r="D373" s="8" t="s">
        <v>992</v>
      </c>
      <c r="E373" s="8">
        <v>391392</v>
      </c>
      <c r="F373" s="8" t="s">
        <v>993</v>
      </c>
      <c r="G373" s="8" t="s">
        <v>24</v>
      </c>
      <c r="H373" s="8" t="s">
        <v>59</v>
      </c>
      <c r="I373" s="8" t="s">
        <v>49</v>
      </c>
      <c r="J373" s="8" t="s">
        <v>960</v>
      </c>
      <c r="K373" s="8" t="s">
        <v>33</v>
      </c>
      <c r="L373" s="8" t="s">
        <v>54</v>
      </c>
      <c r="M373" s="8" t="s">
        <v>42</v>
      </c>
      <c r="N373" s="26">
        <v>41762</v>
      </c>
      <c r="O373" s="14">
        <v>20.98</v>
      </c>
      <c r="P373" s="8">
        <v>14</v>
      </c>
      <c r="Q373" s="19">
        <f t="shared" si="30"/>
        <v>293.72000000000003</v>
      </c>
      <c r="R373" s="20">
        <v>0.1</v>
      </c>
      <c r="S373" s="29">
        <f t="shared" si="27"/>
        <v>29.372000000000003</v>
      </c>
      <c r="T373" s="20">
        <f t="shared" si="28"/>
        <v>264.34800000000001</v>
      </c>
      <c r="U373" s="21">
        <v>5.42</v>
      </c>
      <c r="V373" s="31">
        <f t="shared" si="29"/>
        <v>269.76800000000003</v>
      </c>
    </row>
    <row r="374" spans="1:22" x14ac:dyDescent="0.3">
      <c r="A374" s="6" t="s">
        <v>994</v>
      </c>
      <c r="B374" s="6">
        <f t="shared" si="26"/>
        <v>2</v>
      </c>
      <c r="C374" s="7">
        <v>41761</v>
      </c>
      <c r="D374" s="8" t="s">
        <v>995</v>
      </c>
      <c r="E374" s="8">
        <v>393394</v>
      </c>
      <c r="F374" s="8" t="s">
        <v>525</v>
      </c>
      <c r="G374" s="8" t="s">
        <v>85</v>
      </c>
      <c r="H374" s="8" t="s">
        <v>25</v>
      </c>
      <c r="I374" s="8" t="s">
        <v>60</v>
      </c>
      <c r="J374" s="8" t="s">
        <v>88</v>
      </c>
      <c r="K374" s="8" t="s">
        <v>33</v>
      </c>
      <c r="L374" s="8" t="s">
        <v>34</v>
      </c>
      <c r="M374" s="8" t="s">
        <v>30</v>
      </c>
      <c r="N374" s="26">
        <v>41762</v>
      </c>
      <c r="O374" s="14">
        <v>3.58</v>
      </c>
      <c r="P374" s="8">
        <v>15</v>
      </c>
      <c r="Q374" s="19">
        <f t="shared" si="30"/>
        <v>53.7</v>
      </c>
      <c r="R374" s="20">
        <v>0.05</v>
      </c>
      <c r="S374" s="29">
        <f t="shared" si="27"/>
        <v>2.6850000000000005</v>
      </c>
      <c r="T374" s="20">
        <f t="shared" si="28"/>
        <v>51.015000000000001</v>
      </c>
      <c r="U374" s="21">
        <v>1.63</v>
      </c>
      <c r="V374" s="31">
        <f t="shared" si="29"/>
        <v>52.645000000000003</v>
      </c>
    </row>
    <row r="375" spans="1:22" x14ac:dyDescent="0.3">
      <c r="A375" s="6" t="s">
        <v>996</v>
      </c>
      <c r="B375" s="6">
        <f t="shared" si="26"/>
        <v>2</v>
      </c>
      <c r="C375" s="7">
        <v>41762</v>
      </c>
      <c r="D375" s="8" t="s">
        <v>640</v>
      </c>
      <c r="E375" s="8">
        <v>255256</v>
      </c>
      <c r="F375" s="8" t="s">
        <v>641</v>
      </c>
      <c r="G375" s="8" t="s">
        <v>85</v>
      </c>
      <c r="H375" s="8" t="s">
        <v>74</v>
      </c>
      <c r="I375" s="8" t="s">
        <v>40</v>
      </c>
      <c r="J375" s="8" t="s">
        <v>63</v>
      </c>
      <c r="K375" s="8" t="s">
        <v>33</v>
      </c>
      <c r="L375" s="8" t="s">
        <v>34</v>
      </c>
      <c r="M375" s="8" t="s">
        <v>30</v>
      </c>
      <c r="N375" s="26">
        <v>41766</v>
      </c>
      <c r="O375" s="14">
        <v>2.84</v>
      </c>
      <c r="P375" s="8">
        <v>48</v>
      </c>
      <c r="Q375" s="19">
        <f t="shared" si="30"/>
        <v>136.32</v>
      </c>
      <c r="R375" s="20">
        <v>0.1</v>
      </c>
      <c r="S375" s="29">
        <f t="shared" si="27"/>
        <v>13.632</v>
      </c>
      <c r="T375" s="20">
        <f t="shared" si="28"/>
        <v>122.68799999999999</v>
      </c>
      <c r="U375" s="21">
        <v>0.93</v>
      </c>
      <c r="V375" s="31">
        <f t="shared" si="29"/>
        <v>123.61799999999999</v>
      </c>
    </row>
    <row r="376" spans="1:22" x14ac:dyDescent="0.3">
      <c r="A376" s="6" t="s">
        <v>109</v>
      </c>
      <c r="B376" s="6">
        <f t="shared" si="26"/>
        <v>2</v>
      </c>
      <c r="C376" s="7">
        <v>41765</v>
      </c>
      <c r="D376" s="8" t="s">
        <v>110</v>
      </c>
      <c r="E376" s="8">
        <v>109110</v>
      </c>
      <c r="F376" s="8" t="s">
        <v>111</v>
      </c>
      <c r="G376" s="8" t="s">
        <v>85</v>
      </c>
      <c r="H376" s="8" t="s">
        <v>25</v>
      </c>
      <c r="I376" s="8" t="s">
        <v>49</v>
      </c>
      <c r="J376" s="8" t="s">
        <v>112</v>
      </c>
      <c r="K376" s="8" t="s">
        <v>33</v>
      </c>
      <c r="L376" s="8" t="s">
        <v>54</v>
      </c>
      <c r="M376" s="8" t="s">
        <v>30</v>
      </c>
      <c r="N376" s="26">
        <v>41767</v>
      </c>
      <c r="O376" s="14">
        <v>3.58</v>
      </c>
      <c r="P376" s="8">
        <v>25</v>
      </c>
      <c r="Q376" s="19">
        <f t="shared" si="30"/>
        <v>89.5</v>
      </c>
      <c r="R376" s="20">
        <v>0</v>
      </c>
      <c r="S376" s="29">
        <f t="shared" si="27"/>
        <v>0</v>
      </c>
      <c r="T376" s="20">
        <f t="shared" si="28"/>
        <v>89.5</v>
      </c>
      <c r="U376" s="21">
        <v>5.47</v>
      </c>
      <c r="V376" s="31">
        <f t="shared" si="29"/>
        <v>94.97</v>
      </c>
    </row>
    <row r="377" spans="1:22" x14ac:dyDescent="0.3">
      <c r="A377" s="6" t="s">
        <v>113</v>
      </c>
      <c r="B377" s="6">
        <f t="shared" si="26"/>
        <v>2</v>
      </c>
      <c r="C377" s="7">
        <v>41765</v>
      </c>
      <c r="D377" s="8" t="s">
        <v>110</v>
      </c>
      <c r="E377" s="8">
        <v>109110</v>
      </c>
      <c r="F377" s="8" t="s">
        <v>111</v>
      </c>
      <c r="G377" s="8" t="s">
        <v>85</v>
      </c>
      <c r="H377" s="8" t="s">
        <v>25</v>
      </c>
      <c r="I377" s="8" t="s">
        <v>49</v>
      </c>
      <c r="J377" s="8" t="s">
        <v>114</v>
      </c>
      <c r="K377" s="8" t="s">
        <v>33</v>
      </c>
      <c r="L377" s="8" t="s">
        <v>34</v>
      </c>
      <c r="M377" s="8" t="s">
        <v>30</v>
      </c>
      <c r="N377" s="26">
        <v>41767</v>
      </c>
      <c r="O377" s="14">
        <v>1.81</v>
      </c>
      <c r="P377" s="8">
        <v>45</v>
      </c>
      <c r="Q377" s="19">
        <f t="shared" si="30"/>
        <v>81.45</v>
      </c>
      <c r="R377" s="20">
        <v>0.08</v>
      </c>
      <c r="S377" s="29">
        <f t="shared" si="27"/>
        <v>6.516</v>
      </c>
      <c r="T377" s="20">
        <f t="shared" si="28"/>
        <v>74.933999999999997</v>
      </c>
      <c r="U377" s="21">
        <v>0.75</v>
      </c>
      <c r="V377" s="31">
        <f t="shared" si="29"/>
        <v>75.683999999999997</v>
      </c>
    </row>
    <row r="378" spans="1:22" x14ac:dyDescent="0.3">
      <c r="A378" s="6" t="s">
        <v>1098</v>
      </c>
      <c r="B378" s="6">
        <f t="shared" si="26"/>
        <v>2</v>
      </c>
      <c r="C378" s="7">
        <v>41765</v>
      </c>
      <c r="D378" s="8" t="s">
        <v>110</v>
      </c>
      <c r="E378" s="8">
        <v>224441.23903346999</v>
      </c>
      <c r="F378" s="8" t="s">
        <v>111</v>
      </c>
      <c r="G378" s="8" t="s">
        <v>85</v>
      </c>
      <c r="H378" s="8" t="s">
        <v>25</v>
      </c>
      <c r="I378" s="8" t="s">
        <v>49</v>
      </c>
      <c r="J378" s="8" t="s">
        <v>112</v>
      </c>
      <c r="K378" s="8" t="s">
        <v>33</v>
      </c>
      <c r="L378" s="8" t="s">
        <v>54</v>
      </c>
      <c r="M378" s="8" t="s">
        <v>30</v>
      </c>
      <c r="N378" s="26">
        <v>41767</v>
      </c>
      <c r="O378" s="14">
        <v>56.791545351771703</v>
      </c>
      <c r="P378" s="8">
        <v>26.6314748685556</v>
      </c>
      <c r="Q378" s="19">
        <f t="shared" si="30"/>
        <v>1512.4426127821437</v>
      </c>
      <c r="R378" s="20">
        <v>4.9165637025956097E-2</v>
      </c>
      <c r="S378" s="29">
        <f t="shared" si="27"/>
        <v>74.360204522635541</v>
      </c>
      <c r="T378" s="20">
        <f t="shared" si="28"/>
        <v>1438.0824082595082</v>
      </c>
      <c r="U378" s="21">
        <v>7.3177894997854702</v>
      </c>
      <c r="V378" s="31">
        <f t="shared" si="29"/>
        <v>1445.4001977592936</v>
      </c>
    </row>
    <row r="379" spans="1:22" x14ac:dyDescent="0.3">
      <c r="A379" s="6" t="s">
        <v>1098</v>
      </c>
      <c r="B379" s="6">
        <f t="shared" si="26"/>
        <v>2</v>
      </c>
      <c r="C379" s="7">
        <v>41765</v>
      </c>
      <c r="D379" s="8" t="s">
        <v>110</v>
      </c>
      <c r="E379" s="8">
        <v>224441.23903346999</v>
      </c>
      <c r="F379" s="8" t="s">
        <v>111</v>
      </c>
      <c r="G379" s="8" t="s">
        <v>85</v>
      </c>
      <c r="H379" s="8" t="s">
        <v>25</v>
      </c>
      <c r="I379" s="8" t="s">
        <v>49</v>
      </c>
      <c r="J379" s="8" t="s">
        <v>112</v>
      </c>
      <c r="K379" s="8" t="s">
        <v>33</v>
      </c>
      <c r="L379" s="8" t="s">
        <v>54</v>
      </c>
      <c r="M379" s="8" t="s">
        <v>30</v>
      </c>
      <c r="N379" s="26">
        <v>41767</v>
      </c>
      <c r="O379" s="14">
        <v>56.791545351771703</v>
      </c>
      <c r="P379" s="8">
        <v>26.6314748685556</v>
      </c>
      <c r="Q379" s="19">
        <f t="shared" si="30"/>
        <v>1512.4426127821437</v>
      </c>
      <c r="R379" s="20">
        <v>4.9165637025956097E-2</v>
      </c>
      <c r="S379" s="29">
        <f t="shared" si="27"/>
        <v>74.360204522635541</v>
      </c>
      <c r="T379" s="20">
        <f t="shared" si="28"/>
        <v>1438.0824082595082</v>
      </c>
      <c r="U379" s="21">
        <v>7.3177894997854702</v>
      </c>
      <c r="V379" s="31">
        <f t="shared" si="29"/>
        <v>1445.4001977592936</v>
      </c>
    </row>
    <row r="380" spans="1:22" x14ac:dyDescent="0.3">
      <c r="A380" s="6" t="s">
        <v>1099</v>
      </c>
      <c r="B380" s="6">
        <f t="shared" si="26"/>
        <v>2</v>
      </c>
      <c r="C380" s="7">
        <v>41765</v>
      </c>
      <c r="D380" s="8" t="s">
        <v>110</v>
      </c>
      <c r="E380" s="8">
        <v>224829.171736077</v>
      </c>
      <c r="F380" s="8" t="s">
        <v>111</v>
      </c>
      <c r="G380" s="8" t="s">
        <v>85</v>
      </c>
      <c r="H380" s="8" t="s">
        <v>25</v>
      </c>
      <c r="I380" s="8" t="s">
        <v>49</v>
      </c>
      <c r="J380" s="8" t="s">
        <v>114</v>
      </c>
      <c r="K380" s="8" t="s">
        <v>33</v>
      </c>
      <c r="L380" s="8" t="s">
        <v>34</v>
      </c>
      <c r="M380" s="8" t="s">
        <v>30</v>
      </c>
      <c r="N380" s="26">
        <v>41767</v>
      </c>
      <c r="O380" s="14">
        <v>56.836930170946999</v>
      </c>
      <c r="P380" s="8">
        <v>26.6345362212213</v>
      </c>
      <c r="Q380" s="19">
        <f t="shared" si="30"/>
        <v>1513.8252753411136</v>
      </c>
      <c r="R380" s="20">
        <v>4.9149387354261102E-2</v>
      </c>
      <c r="S380" s="29">
        <f t="shared" si="27"/>
        <v>74.403584844411355</v>
      </c>
      <c r="T380" s="20">
        <f t="shared" si="28"/>
        <v>1439.4216904967022</v>
      </c>
      <c r="U380" s="21">
        <v>7.3230504227589996</v>
      </c>
      <c r="V380" s="31">
        <f t="shared" si="29"/>
        <v>1446.7447409194613</v>
      </c>
    </row>
    <row r="381" spans="1:22" x14ac:dyDescent="0.3">
      <c r="A381" s="6" t="s">
        <v>1099</v>
      </c>
      <c r="B381" s="6">
        <f t="shared" si="26"/>
        <v>2</v>
      </c>
      <c r="C381" s="7">
        <v>41765</v>
      </c>
      <c r="D381" s="8" t="s">
        <v>110</v>
      </c>
      <c r="E381" s="8">
        <v>224829.171736077</v>
      </c>
      <c r="F381" s="8" t="s">
        <v>111</v>
      </c>
      <c r="G381" s="8" t="s">
        <v>85</v>
      </c>
      <c r="H381" s="8" t="s">
        <v>25</v>
      </c>
      <c r="I381" s="8" t="s">
        <v>49</v>
      </c>
      <c r="J381" s="8" t="s">
        <v>114</v>
      </c>
      <c r="K381" s="8" t="s">
        <v>33</v>
      </c>
      <c r="L381" s="8" t="s">
        <v>34</v>
      </c>
      <c r="M381" s="8" t="s">
        <v>30</v>
      </c>
      <c r="N381" s="26">
        <v>41767</v>
      </c>
      <c r="O381" s="14">
        <v>56.836930170946999</v>
      </c>
      <c r="P381" s="8">
        <v>26.6345362212213</v>
      </c>
      <c r="Q381" s="19">
        <f t="shared" si="30"/>
        <v>1513.8252753411136</v>
      </c>
      <c r="R381" s="20">
        <v>4.9149387354261102E-2</v>
      </c>
      <c r="S381" s="29">
        <f t="shared" si="27"/>
        <v>74.403584844411355</v>
      </c>
      <c r="T381" s="20">
        <f t="shared" si="28"/>
        <v>1439.4216904967022</v>
      </c>
      <c r="U381" s="21">
        <v>7.3230504227589996</v>
      </c>
      <c r="V381" s="31">
        <f t="shared" si="29"/>
        <v>1446.7447409194613</v>
      </c>
    </row>
    <row r="382" spans="1:22" x14ac:dyDescent="0.3">
      <c r="A382" s="6" t="s">
        <v>997</v>
      </c>
      <c r="B382" s="6">
        <f t="shared" si="26"/>
        <v>2</v>
      </c>
      <c r="C382" s="7">
        <v>41767</v>
      </c>
      <c r="D382" s="8" t="s">
        <v>998</v>
      </c>
      <c r="E382" s="8">
        <v>3940</v>
      </c>
      <c r="F382" s="8" t="s">
        <v>461</v>
      </c>
      <c r="G382" s="8" t="s">
        <v>24</v>
      </c>
      <c r="H382" s="8" t="s">
        <v>130</v>
      </c>
      <c r="I382" s="8" t="s">
        <v>40</v>
      </c>
      <c r="J382" s="8" t="s">
        <v>152</v>
      </c>
      <c r="K382" s="8" t="s">
        <v>33</v>
      </c>
      <c r="L382" s="8" t="s">
        <v>34</v>
      </c>
      <c r="M382" s="8" t="s">
        <v>30</v>
      </c>
      <c r="N382" s="26">
        <v>41772</v>
      </c>
      <c r="O382" s="14">
        <v>1.48</v>
      </c>
      <c r="P382" s="8">
        <v>33</v>
      </c>
      <c r="Q382" s="19">
        <f t="shared" si="30"/>
        <v>48.839999999999996</v>
      </c>
      <c r="R382" s="20">
        <v>7.0000000000000007E-2</v>
      </c>
      <c r="S382" s="29">
        <f t="shared" si="27"/>
        <v>3.4188000000000001</v>
      </c>
      <c r="T382" s="20">
        <f t="shared" si="28"/>
        <v>45.421199999999999</v>
      </c>
      <c r="U382" s="21">
        <v>0.7</v>
      </c>
      <c r="V382" s="31">
        <f t="shared" si="29"/>
        <v>46.121200000000002</v>
      </c>
    </row>
    <row r="383" spans="1:22" x14ac:dyDescent="0.3">
      <c r="A383" s="6" t="s">
        <v>999</v>
      </c>
      <c r="B383" s="6">
        <f t="shared" si="26"/>
        <v>2</v>
      </c>
      <c r="C383" s="7">
        <v>41767</v>
      </c>
      <c r="D383" s="8" t="s">
        <v>1000</v>
      </c>
      <c r="E383" s="8">
        <v>395396</v>
      </c>
      <c r="F383" s="8" t="s">
        <v>464</v>
      </c>
      <c r="G383" s="8" t="s">
        <v>24</v>
      </c>
      <c r="H383" s="8" t="s">
        <v>99</v>
      </c>
      <c r="I383" s="8" t="s">
        <v>40</v>
      </c>
      <c r="J383" s="8" t="s">
        <v>552</v>
      </c>
      <c r="K383" s="8" t="s">
        <v>33</v>
      </c>
      <c r="L383" s="8" t="s">
        <v>54</v>
      </c>
      <c r="M383" s="8" t="s">
        <v>30</v>
      </c>
      <c r="N383" s="26">
        <v>41771</v>
      </c>
      <c r="O383" s="14">
        <v>2.08</v>
      </c>
      <c r="P383" s="8">
        <v>40</v>
      </c>
      <c r="Q383" s="19">
        <f t="shared" si="30"/>
        <v>83.2</v>
      </c>
      <c r="R383" s="20">
        <v>0</v>
      </c>
      <c r="S383" s="29">
        <f t="shared" si="27"/>
        <v>0</v>
      </c>
      <c r="T383" s="20">
        <f t="shared" si="28"/>
        <v>83.2</v>
      </c>
      <c r="U383" s="21">
        <v>1.49</v>
      </c>
      <c r="V383" s="31">
        <f t="shared" si="29"/>
        <v>84.69</v>
      </c>
    </row>
    <row r="384" spans="1:22" x14ac:dyDescent="0.3">
      <c r="A384" s="6" t="s">
        <v>1001</v>
      </c>
      <c r="B384" s="6">
        <f t="shared" si="26"/>
        <v>2</v>
      </c>
      <c r="C384" s="7">
        <v>41768</v>
      </c>
      <c r="D384" s="8" t="s">
        <v>1002</v>
      </c>
      <c r="E384" s="8">
        <v>397398</v>
      </c>
      <c r="F384" s="8" t="s">
        <v>1003</v>
      </c>
      <c r="G384" s="8" t="s">
        <v>24</v>
      </c>
      <c r="H384" s="8" t="s">
        <v>74</v>
      </c>
      <c r="I384" s="8" t="s">
        <v>60</v>
      </c>
      <c r="J384" s="8" t="s">
        <v>242</v>
      </c>
      <c r="K384" s="8" t="s">
        <v>243</v>
      </c>
      <c r="L384" s="8" t="s">
        <v>106</v>
      </c>
      <c r="M384" s="8" t="s">
        <v>30</v>
      </c>
      <c r="N384" s="26">
        <v>41769</v>
      </c>
      <c r="O384" s="14">
        <v>136.97999999999999</v>
      </c>
      <c r="P384" s="8">
        <v>44</v>
      </c>
      <c r="Q384" s="19">
        <f t="shared" si="30"/>
        <v>6027.12</v>
      </c>
      <c r="R384" s="20">
        <v>0.08</v>
      </c>
      <c r="S384" s="29">
        <f t="shared" si="27"/>
        <v>482.1696</v>
      </c>
      <c r="T384" s="20">
        <f t="shared" si="28"/>
        <v>5544.9503999999997</v>
      </c>
      <c r="U384" s="21">
        <v>24.49</v>
      </c>
      <c r="V384" s="31">
        <f t="shared" si="29"/>
        <v>5569.4403999999995</v>
      </c>
    </row>
    <row r="385" spans="1:22" x14ac:dyDescent="0.3">
      <c r="A385" s="6" t="s">
        <v>1004</v>
      </c>
      <c r="B385" s="6">
        <f t="shared" si="26"/>
        <v>2</v>
      </c>
      <c r="C385" s="7">
        <v>41770</v>
      </c>
      <c r="D385" s="8" t="s">
        <v>546</v>
      </c>
      <c r="E385" s="8">
        <v>223224</v>
      </c>
      <c r="F385" s="8" t="s">
        <v>547</v>
      </c>
      <c r="G385" s="8" t="s">
        <v>24</v>
      </c>
      <c r="H385" s="8" t="s">
        <v>25</v>
      </c>
      <c r="I385" s="8" t="s">
        <v>26</v>
      </c>
      <c r="J385" s="8" t="s">
        <v>236</v>
      </c>
      <c r="K385" s="8" t="s">
        <v>33</v>
      </c>
      <c r="L385" s="8" t="s">
        <v>34</v>
      </c>
      <c r="M385" s="8" t="s">
        <v>30</v>
      </c>
      <c r="N385" s="26">
        <v>41771</v>
      </c>
      <c r="O385" s="14">
        <v>9.85</v>
      </c>
      <c r="P385" s="8">
        <v>20</v>
      </c>
      <c r="Q385" s="19">
        <f t="shared" si="30"/>
        <v>197</v>
      </c>
      <c r="R385" s="20">
        <v>0.06</v>
      </c>
      <c r="S385" s="29">
        <f t="shared" si="27"/>
        <v>11.82</v>
      </c>
      <c r="T385" s="20">
        <f t="shared" si="28"/>
        <v>185.18</v>
      </c>
      <c r="U385" s="21">
        <v>4.82</v>
      </c>
      <c r="V385" s="31">
        <f t="shared" si="29"/>
        <v>190</v>
      </c>
    </row>
    <row r="386" spans="1:22" x14ac:dyDescent="0.3">
      <c r="A386" s="6" t="s">
        <v>1005</v>
      </c>
      <c r="B386" s="6">
        <f t="shared" si="26"/>
        <v>2</v>
      </c>
      <c r="C386" s="7">
        <v>41772</v>
      </c>
      <c r="D386" s="8" t="s">
        <v>650</v>
      </c>
      <c r="E386" s="8">
        <v>26</v>
      </c>
      <c r="F386" s="8" t="s">
        <v>260</v>
      </c>
      <c r="G386" s="8" t="s">
        <v>85</v>
      </c>
      <c r="H386" s="8" t="s">
        <v>99</v>
      </c>
      <c r="I386" s="8" t="s">
        <v>49</v>
      </c>
      <c r="J386" s="8" t="s">
        <v>210</v>
      </c>
      <c r="K386" s="8" t="s">
        <v>33</v>
      </c>
      <c r="L386" s="8" t="s">
        <v>54</v>
      </c>
      <c r="M386" s="8" t="s">
        <v>30</v>
      </c>
      <c r="N386" s="26">
        <v>41773</v>
      </c>
      <c r="O386" s="14">
        <v>4.38</v>
      </c>
      <c r="P386" s="8">
        <v>29</v>
      </c>
      <c r="Q386" s="19">
        <f t="shared" si="30"/>
        <v>127.02</v>
      </c>
      <c r="R386" s="20">
        <v>0.08</v>
      </c>
      <c r="S386" s="29">
        <f t="shared" si="27"/>
        <v>10.1616</v>
      </c>
      <c r="T386" s="20">
        <f t="shared" si="28"/>
        <v>116.85839999999999</v>
      </c>
      <c r="U386" s="21">
        <v>6.21</v>
      </c>
      <c r="V386" s="31">
        <f t="shared" si="29"/>
        <v>123.06839999999998</v>
      </c>
    </row>
    <row r="387" spans="1:22" x14ac:dyDescent="0.3">
      <c r="A387" s="6" t="s">
        <v>1006</v>
      </c>
      <c r="B387" s="6">
        <f t="shared" ref="B387:B450" si="31">INT((MONTH(C387) +2)/3)</f>
        <v>2</v>
      </c>
      <c r="C387" s="7">
        <v>41774</v>
      </c>
      <c r="D387" s="8" t="s">
        <v>598</v>
      </c>
      <c r="E387" s="8">
        <v>24</v>
      </c>
      <c r="F387" s="8" t="s">
        <v>599</v>
      </c>
      <c r="G387" s="8" t="s">
        <v>58</v>
      </c>
      <c r="H387" s="8" t="s">
        <v>39</v>
      </c>
      <c r="I387" s="8" t="s">
        <v>26</v>
      </c>
      <c r="J387" s="8" t="s">
        <v>610</v>
      </c>
      <c r="K387" s="8" t="s">
        <v>33</v>
      </c>
      <c r="L387" s="8" t="s">
        <v>54</v>
      </c>
      <c r="M387" s="8" t="s">
        <v>30</v>
      </c>
      <c r="N387" s="26">
        <v>41775</v>
      </c>
      <c r="O387" s="14">
        <v>3.08</v>
      </c>
      <c r="P387" s="8">
        <v>9</v>
      </c>
      <c r="Q387" s="19">
        <f t="shared" si="30"/>
        <v>27.72</v>
      </c>
      <c r="R387" s="20">
        <v>0.01</v>
      </c>
      <c r="S387" s="29">
        <f t="shared" ref="S387:S450" si="32">PRODUCT(Q387,R387)</f>
        <v>0.2772</v>
      </c>
      <c r="T387" s="20">
        <f t="shared" ref="T387:T450" si="33">SUM(Q387,-S387)</f>
        <v>27.442799999999998</v>
      </c>
      <c r="U387" s="21">
        <v>0.99</v>
      </c>
      <c r="V387" s="31">
        <f t="shared" ref="V387:V450" si="34">SUM(T387,U387)</f>
        <v>28.432799999999997</v>
      </c>
    </row>
    <row r="388" spans="1:22" x14ac:dyDescent="0.3">
      <c r="A388" s="6" t="s">
        <v>1007</v>
      </c>
      <c r="B388" s="6">
        <f t="shared" si="31"/>
        <v>2</v>
      </c>
      <c r="C388" s="7">
        <v>41776</v>
      </c>
      <c r="D388" s="8" t="s">
        <v>511</v>
      </c>
      <c r="E388" s="8">
        <v>21</v>
      </c>
      <c r="F388" s="8" t="s">
        <v>512</v>
      </c>
      <c r="G388" s="8" t="s">
        <v>38</v>
      </c>
      <c r="H388" s="8" t="s">
        <v>118</v>
      </c>
      <c r="I388" s="8" t="s">
        <v>49</v>
      </c>
      <c r="J388" s="8" t="s">
        <v>156</v>
      </c>
      <c r="K388" s="8" t="s">
        <v>33</v>
      </c>
      <c r="L388" s="8" t="s">
        <v>29</v>
      </c>
      <c r="M388" s="8" t="s">
        <v>30</v>
      </c>
      <c r="N388" s="26">
        <v>41777</v>
      </c>
      <c r="O388" s="14">
        <v>12.98</v>
      </c>
      <c r="P388" s="8">
        <v>20</v>
      </c>
      <c r="Q388" s="19">
        <f t="shared" si="30"/>
        <v>259.60000000000002</v>
      </c>
      <c r="R388" s="20">
        <v>0.04</v>
      </c>
      <c r="S388" s="29">
        <f t="shared" si="32"/>
        <v>10.384</v>
      </c>
      <c r="T388" s="20">
        <f t="shared" si="33"/>
        <v>249.21600000000001</v>
      </c>
      <c r="U388" s="21">
        <v>3.14</v>
      </c>
      <c r="V388" s="31">
        <f t="shared" si="34"/>
        <v>252.35599999999999</v>
      </c>
    </row>
    <row r="389" spans="1:22" x14ac:dyDescent="0.3">
      <c r="A389" s="6" t="s">
        <v>1008</v>
      </c>
      <c r="B389" s="6">
        <f t="shared" si="31"/>
        <v>2</v>
      </c>
      <c r="C389" s="7">
        <v>41778</v>
      </c>
      <c r="D389" s="8" t="s">
        <v>1009</v>
      </c>
      <c r="E389" s="8">
        <v>399400</v>
      </c>
      <c r="F389" s="8" t="s">
        <v>695</v>
      </c>
      <c r="G389" s="8" t="s">
        <v>58</v>
      </c>
      <c r="H389" s="8" t="s">
        <v>48</v>
      </c>
      <c r="I389" s="8" t="s">
        <v>26</v>
      </c>
      <c r="J389" s="8" t="s">
        <v>253</v>
      </c>
      <c r="K389" s="8" t="s">
        <v>243</v>
      </c>
      <c r="L389" s="8" t="s">
        <v>29</v>
      </c>
      <c r="M389" s="8" t="s">
        <v>42</v>
      </c>
      <c r="N389" s="26">
        <v>41779</v>
      </c>
      <c r="O389" s="14">
        <v>12.22</v>
      </c>
      <c r="P389" s="8">
        <v>18</v>
      </c>
      <c r="Q389" s="19">
        <f t="shared" si="30"/>
        <v>219.96</v>
      </c>
      <c r="R389" s="20">
        <v>0.04</v>
      </c>
      <c r="S389" s="29">
        <f t="shared" si="32"/>
        <v>8.7984000000000009</v>
      </c>
      <c r="T389" s="20">
        <f t="shared" si="33"/>
        <v>211.16160000000002</v>
      </c>
      <c r="U389" s="21">
        <v>2.85</v>
      </c>
      <c r="V389" s="31">
        <f t="shared" si="34"/>
        <v>214.01160000000002</v>
      </c>
    </row>
    <row r="390" spans="1:22" x14ac:dyDescent="0.3">
      <c r="A390" s="6" t="s">
        <v>1010</v>
      </c>
      <c r="B390" s="6">
        <f t="shared" si="31"/>
        <v>2</v>
      </c>
      <c r="C390" s="7">
        <v>41778</v>
      </c>
      <c r="D390" s="8" t="s">
        <v>1011</v>
      </c>
      <c r="E390" s="8">
        <v>4</v>
      </c>
      <c r="F390" s="8" t="s">
        <v>1012</v>
      </c>
      <c r="G390" s="8" t="s">
        <v>24</v>
      </c>
      <c r="H390" s="8" t="s">
        <v>118</v>
      </c>
      <c r="I390" s="8" t="s">
        <v>40</v>
      </c>
      <c r="J390" s="8" t="s">
        <v>163</v>
      </c>
      <c r="K390" s="8" t="s">
        <v>33</v>
      </c>
      <c r="L390" s="8" t="s">
        <v>34</v>
      </c>
      <c r="M390" s="8" t="s">
        <v>42</v>
      </c>
      <c r="N390" s="26">
        <v>41783</v>
      </c>
      <c r="O390" s="14">
        <v>3.78</v>
      </c>
      <c r="P390" s="8">
        <v>15</v>
      </c>
      <c r="Q390" s="19">
        <f t="shared" si="30"/>
        <v>56.699999999999996</v>
      </c>
      <c r="R390" s="20">
        <v>0.03</v>
      </c>
      <c r="S390" s="29">
        <f t="shared" si="32"/>
        <v>1.7009999999999998</v>
      </c>
      <c r="T390" s="20">
        <f t="shared" si="33"/>
        <v>54.998999999999995</v>
      </c>
      <c r="U390" s="21">
        <v>0.71</v>
      </c>
      <c r="V390" s="31">
        <f t="shared" si="34"/>
        <v>55.708999999999996</v>
      </c>
    </row>
    <row r="391" spans="1:22" x14ac:dyDescent="0.3">
      <c r="A391" s="6" t="s">
        <v>1013</v>
      </c>
      <c r="B391" s="6">
        <f t="shared" si="31"/>
        <v>2</v>
      </c>
      <c r="C391" s="7">
        <v>41784</v>
      </c>
      <c r="D391" s="8" t="s">
        <v>1014</v>
      </c>
      <c r="E391" s="8">
        <v>40</v>
      </c>
      <c r="F391" s="8" t="s">
        <v>1015</v>
      </c>
      <c r="G391" s="8" t="s">
        <v>38</v>
      </c>
      <c r="H391" s="8" t="s">
        <v>67</v>
      </c>
      <c r="I391" s="8" t="s">
        <v>40</v>
      </c>
      <c r="J391" s="8" t="s">
        <v>137</v>
      </c>
      <c r="K391" s="8" t="s">
        <v>28</v>
      </c>
      <c r="L391" s="8" t="s">
        <v>138</v>
      </c>
      <c r="M391" s="8" t="s">
        <v>139</v>
      </c>
      <c r="N391" s="26">
        <v>41788</v>
      </c>
      <c r="O391" s="14">
        <v>449.99</v>
      </c>
      <c r="P391" s="8">
        <v>47</v>
      </c>
      <c r="Q391" s="19">
        <f t="shared" si="30"/>
        <v>21149.53</v>
      </c>
      <c r="R391" s="20">
        <v>0.1</v>
      </c>
      <c r="S391" s="29">
        <f t="shared" si="32"/>
        <v>2114.953</v>
      </c>
      <c r="T391" s="20">
        <f t="shared" si="33"/>
        <v>19034.576999999997</v>
      </c>
      <c r="U391" s="21">
        <v>49</v>
      </c>
      <c r="V391" s="31">
        <f t="shared" si="34"/>
        <v>19083.576999999997</v>
      </c>
    </row>
    <row r="392" spans="1:22" x14ac:dyDescent="0.3">
      <c r="A392" s="6" t="s">
        <v>1016</v>
      </c>
      <c r="B392" s="6">
        <f t="shared" si="31"/>
        <v>2</v>
      </c>
      <c r="C392" s="7">
        <v>41788</v>
      </c>
      <c r="D392" s="8" t="s">
        <v>1017</v>
      </c>
      <c r="E392" s="8">
        <v>401402</v>
      </c>
      <c r="F392" s="8" t="s">
        <v>425</v>
      </c>
      <c r="G392" s="8" t="s">
        <v>24</v>
      </c>
      <c r="H392" s="8" t="s">
        <v>25</v>
      </c>
      <c r="I392" s="8" t="s">
        <v>40</v>
      </c>
      <c r="J392" s="8" t="s">
        <v>261</v>
      </c>
      <c r="K392" s="8" t="s">
        <v>28</v>
      </c>
      <c r="L392" s="8" t="s">
        <v>54</v>
      </c>
      <c r="M392" s="8" t="s">
        <v>30</v>
      </c>
      <c r="N392" s="26">
        <v>41792</v>
      </c>
      <c r="O392" s="14">
        <v>152.47999999999999</v>
      </c>
      <c r="P392" s="8">
        <v>49</v>
      </c>
      <c r="Q392" s="19">
        <f t="shared" si="30"/>
        <v>7471.5199999999995</v>
      </c>
      <c r="R392" s="20">
        <v>0.03</v>
      </c>
      <c r="S392" s="29">
        <f t="shared" si="32"/>
        <v>224.14559999999997</v>
      </c>
      <c r="T392" s="20">
        <f t="shared" si="33"/>
        <v>7247.3743999999997</v>
      </c>
      <c r="U392" s="21">
        <v>4</v>
      </c>
      <c r="V392" s="31">
        <f t="shared" si="34"/>
        <v>7251.3743999999997</v>
      </c>
    </row>
    <row r="393" spans="1:22" x14ac:dyDescent="0.3">
      <c r="A393" s="6" t="s">
        <v>1018</v>
      </c>
      <c r="B393" s="6">
        <f t="shared" si="31"/>
        <v>2</v>
      </c>
      <c r="C393" s="7">
        <v>41788</v>
      </c>
      <c r="D393" s="8" t="s">
        <v>1019</v>
      </c>
      <c r="E393" s="8">
        <v>403404</v>
      </c>
      <c r="F393" s="8" t="s">
        <v>386</v>
      </c>
      <c r="G393" s="8" t="s">
        <v>24</v>
      </c>
      <c r="H393" s="8" t="s">
        <v>130</v>
      </c>
      <c r="I393" s="8" t="s">
        <v>136</v>
      </c>
      <c r="J393" s="8" t="s">
        <v>171</v>
      </c>
      <c r="K393" s="8" t="s">
        <v>33</v>
      </c>
      <c r="L393" s="8" t="s">
        <v>54</v>
      </c>
      <c r="M393" s="8" t="s">
        <v>30</v>
      </c>
      <c r="N393" s="26">
        <v>41788</v>
      </c>
      <c r="O393" s="14">
        <v>22.38</v>
      </c>
      <c r="P393" s="8">
        <v>26</v>
      </c>
      <c r="Q393" s="19">
        <f t="shared" si="30"/>
        <v>581.88</v>
      </c>
      <c r="R393" s="20">
        <v>7.0000000000000007E-2</v>
      </c>
      <c r="S393" s="29">
        <f t="shared" si="32"/>
        <v>40.7316</v>
      </c>
      <c r="T393" s="20">
        <f t="shared" si="33"/>
        <v>541.14840000000004</v>
      </c>
      <c r="U393" s="21">
        <v>15.1</v>
      </c>
      <c r="V393" s="31">
        <f t="shared" si="34"/>
        <v>556.24840000000006</v>
      </c>
    </row>
    <row r="394" spans="1:22" x14ac:dyDescent="0.3">
      <c r="A394" s="6" t="s">
        <v>1020</v>
      </c>
      <c r="B394" s="6">
        <f t="shared" si="31"/>
        <v>2</v>
      </c>
      <c r="C394" s="7">
        <v>41788</v>
      </c>
      <c r="D394" s="8" t="s">
        <v>1021</v>
      </c>
      <c r="E394" s="8">
        <v>405406</v>
      </c>
      <c r="F394" s="8" t="s">
        <v>774</v>
      </c>
      <c r="G394" s="8" t="s">
        <v>24</v>
      </c>
      <c r="H394" s="8" t="s">
        <v>74</v>
      </c>
      <c r="I394" s="8" t="s">
        <v>26</v>
      </c>
      <c r="J394" s="8" t="s">
        <v>412</v>
      </c>
      <c r="K394" s="8" t="s">
        <v>33</v>
      </c>
      <c r="L394" s="8" t="s">
        <v>29</v>
      </c>
      <c r="M394" s="8" t="s">
        <v>30</v>
      </c>
      <c r="N394" s="26">
        <v>41788</v>
      </c>
      <c r="O394" s="14">
        <v>11.97</v>
      </c>
      <c r="P394" s="8">
        <v>46</v>
      </c>
      <c r="Q394" s="19">
        <f t="shared" si="30"/>
        <v>550.62</v>
      </c>
      <c r="R394" s="20">
        <v>7.0000000000000007E-2</v>
      </c>
      <c r="S394" s="29">
        <f t="shared" si="32"/>
        <v>38.543400000000005</v>
      </c>
      <c r="T394" s="20">
        <f t="shared" si="33"/>
        <v>512.07659999999998</v>
      </c>
      <c r="U394" s="21">
        <v>5.81</v>
      </c>
      <c r="V394" s="31">
        <f t="shared" si="34"/>
        <v>517.88659999999993</v>
      </c>
    </row>
    <row r="395" spans="1:22" x14ac:dyDescent="0.3">
      <c r="A395" s="6" t="s">
        <v>1022</v>
      </c>
      <c r="B395" s="6">
        <f t="shared" si="31"/>
        <v>2</v>
      </c>
      <c r="C395" s="7">
        <v>41792</v>
      </c>
      <c r="D395" s="8" t="s">
        <v>1023</v>
      </c>
      <c r="E395" s="8">
        <v>407408</v>
      </c>
      <c r="F395" s="8" t="s">
        <v>160</v>
      </c>
      <c r="G395" s="8" t="s">
        <v>24</v>
      </c>
      <c r="H395" s="8" t="s">
        <v>48</v>
      </c>
      <c r="I395" s="8" t="s">
        <v>60</v>
      </c>
      <c r="J395" s="8" t="s">
        <v>50</v>
      </c>
      <c r="K395" s="8" t="s">
        <v>28</v>
      </c>
      <c r="L395" s="8" t="s">
        <v>51</v>
      </c>
      <c r="M395" s="8" t="s">
        <v>30</v>
      </c>
      <c r="N395" s="26">
        <v>41794</v>
      </c>
      <c r="O395" s="14">
        <v>20.99</v>
      </c>
      <c r="P395" s="8">
        <v>10</v>
      </c>
      <c r="Q395" s="19">
        <f t="shared" si="30"/>
        <v>209.89999999999998</v>
      </c>
      <c r="R395" s="20">
        <v>0</v>
      </c>
      <c r="S395" s="29">
        <f t="shared" si="32"/>
        <v>0</v>
      </c>
      <c r="T395" s="20">
        <f t="shared" si="33"/>
        <v>209.89999999999998</v>
      </c>
      <c r="U395" s="21">
        <v>4.8099999999999996</v>
      </c>
      <c r="V395" s="31">
        <f t="shared" si="34"/>
        <v>214.70999999999998</v>
      </c>
    </row>
    <row r="396" spans="1:22" x14ac:dyDescent="0.3">
      <c r="A396" s="6" t="s">
        <v>1024</v>
      </c>
      <c r="B396" s="6">
        <f t="shared" si="31"/>
        <v>2</v>
      </c>
      <c r="C396" s="7">
        <v>41793</v>
      </c>
      <c r="D396" s="8" t="s">
        <v>770</v>
      </c>
      <c r="E396" s="8">
        <v>301302</v>
      </c>
      <c r="F396" s="8" t="s">
        <v>771</v>
      </c>
      <c r="G396" s="8" t="s">
        <v>24</v>
      </c>
      <c r="H396" s="8" t="s">
        <v>398</v>
      </c>
      <c r="I396" s="8" t="s">
        <v>49</v>
      </c>
      <c r="J396" s="8" t="s">
        <v>1025</v>
      </c>
      <c r="K396" s="8" t="s">
        <v>33</v>
      </c>
      <c r="L396" s="8" t="s">
        <v>34</v>
      </c>
      <c r="M396" s="8" t="s">
        <v>30</v>
      </c>
      <c r="N396" s="26">
        <v>41794</v>
      </c>
      <c r="O396" s="14">
        <v>1.82</v>
      </c>
      <c r="P396" s="8">
        <v>40</v>
      </c>
      <c r="Q396" s="19">
        <f t="shared" si="30"/>
        <v>72.8</v>
      </c>
      <c r="R396" s="20">
        <v>0.1</v>
      </c>
      <c r="S396" s="29">
        <f t="shared" si="32"/>
        <v>7.28</v>
      </c>
      <c r="T396" s="20">
        <f t="shared" si="33"/>
        <v>65.52</v>
      </c>
      <c r="U396" s="21">
        <v>1</v>
      </c>
      <c r="V396" s="31">
        <f t="shared" si="34"/>
        <v>66.52</v>
      </c>
    </row>
    <row r="397" spans="1:22" x14ac:dyDescent="0.3">
      <c r="A397" s="6" t="s">
        <v>1026</v>
      </c>
      <c r="B397" s="6">
        <f t="shared" si="31"/>
        <v>2</v>
      </c>
      <c r="C397" s="7">
        <v>41793</v>
      </c>
      <c r="D397" s="8" t="s">
        <v>278</v>
      </c>
      <c r="E397" s="8">
        <v>143144</v>
      </c>
      <c r="F397" s="8" t="s">
        <v>279</v>
      </c>
      <c r="G397" s="8" t="s">
        <v>38</v>
      </c>
      <c r="H397" s="8" t="s">
        <v>25</v>
      </c>
      <c r="I397" s="8" t="s">
        <v>136</v>
      </c>
      <c r="J397" s="8" t="s">
        <v>458</v>
      </c>
      <c r="K397" s="8" t="s">
        <v>33</v>
      </c>
      <c r="L397" s="8" t="s">
        <v>34</v>
      </c>
      <c r="M397" s="8" t="s">
        <v>30</v>
      </c>
      <c r="N397" s="26">
        <v>41795</v>
      </c>
      <c r="O397" s="14">
        <v>7.08</v>
      </c>
      <c r="P397" s="8">
        <v>45</v>
      </c>
      <c r="Q397" s="19">
        <f t="shared" si="30"/>
        <v>318.60000000000002</v>
      </c>
      <c r="R397" s="20">
        <v>0.06</v>
      </c>
      <c r="S397" s="29">
        <f t="shared" si="32"/>
        <v>19.116</v>
      </c>
      <c r="T397" s="20">
        <f t="shared" si="33"/>
        <v>299.48400000000004</v>
      </c>
      <c r="U397" s="21">
        <v>2.35</v>
      </c>
      <c r="V397" s="31">
        <f t="shared" si="34"/>
        <v>301.83400000000006</v>
      </c>
    </row>
    <row r="398" spans="1:22" x14ac:dyDescent="0.3">
      <c r="A398" s="6" t="s">
        <v>1027</v>
      </c>
      <c r="B398" s="6">
        <f t="shared" si="31"/>
        <v>2</v>
      </c>
      <c r="C398" s="7">
        <v>41794</v>
      </c>
      <c r="D398" s="8" t="s">
        <v>735</v>
      </c>
      <c r="E398" s="8">
        <v>29</v>
      </c>
      <c r="F398" s="8" t="s">
        <v>260</v>
      </c>
      <c r="G398" s="8" t="s">
        <v>58</v>
      </c>
      <c r="H398" s="8" t="s">
        <v>67</v>
      </c>
      <c r="I398" s="8" t="s">
        <v>136</v>
      </c>
      <c r="J398" s="8" t="s">
        <v>520</v>
      </c>
      <c r="K398" s="8" t="s">
        <v>33</v>
      </c>
      <c r="L398" s="8" t="s">
        <v>54</v>
      </c>
      <c r="M398" s="8" t="s">
        <v>30</v>
      </c>
      <c r="N398" s="26">
        <v>41795</v>
      </c>
      <c r="O398" s="14">
        <v>415.88</v>
      </c>
      <c r="P398" s="8">
        <v>43</v>
      </c>
      <c r="Q398" s="19">
        <f t="shared" si="30"/>
        <v>17882.84</v>
      </c>
      <c r="R398" s="20">
        <v>7.0000000000000007E-2</v>
      </c>
      <c r="S398" s="29">
        <f t="shared" si="32"/>
        <v>1251.7988</v>
      </c>
      <c r="T398" s="20">
        <f t="shared" si="33"/>
        <v>16631.0412</v>
      </c>
      <c r="U398" s="21">
        <v>11.37</v>
      </c>
      <c r="V398" s="31">
        <f t="shared" si="34"/>
        <v>16642.411199999999</v>
      </c>
    </row>
    <row r="399" spans="1:22" x14ac:dyDescent="0.3">
      <c r="A399" s="6" t="s">
        <v>1028</v>
      </c>
      <c r="B399" s="6">
        <f t="shared" si="31"/>
        <v>2</v>
      </c>
      <c r="C399" s="7">
        <v>41794</v>
      </c>
      <c r="D399" s="8" t="s">
        <v>1029</v>
      </c>
      <c r="E399" s="8">
        <v>409410</v>
      </c>
      <c r="F399" s="8" t="s">
        <v>815</v>
      </c>
      <c r="G399" s="8" t="s">
        <v>38</v>
      </c>
      <c r="H399" s="8" t="s">
        <v>99</v>
      </c>
      <c r="I399" s="8" t="s">
        <v>49</v>
      </c>
      <c r="J399" s="8" t="s">
        <v>481</v>
      </c>
      <c r="K399" s="8" t="s">
        <v>28</v>
      </c>
      <c r="L399" s="8" t="s">
        <v>54</v>
      </c>
      <c r="M399" s="8" t="s">
        <v>30</v>
      </c>
      <c r="N399" s="26">
        <v>41795</v>
      </c>
      <c r="O399" s="14">
        <v>300.97000000000003</v>
      </c>
      <c r="P399" s="8">
        <v>6</v>
      </c>
      <c r="Q399" s="19">
        <f t="shared" si="30"/>
        <v>1805.8200000000002</v>
      </c>
      <c r="R399" s="20">
        <v>0.04</v>
      </c>
      <c r="S399" s="29">
        <f t="shared" si="32"/>
        <v>72.232800000000012</v>
      </c>
      <c r="T399" s="20">
        <f t="shared" si="33"/>
        <v>1733.5872000000002</v>
      </c>
      <c r="U399" s="21">
        <v>7.18</v>
      </c>
      <c r="V399" s="31">
        <f t="shared" si="34"/>
        <v>1740.7672000000002</v>
      </c>
    </row>
    <row r="400" spans="1:22" x14ac:dyDescent="0.3">
      <c r="A400" s="6" t="s">
        <v>1030</v>
      </c>
      <c r="B400" s="6">
        <f t="shared" si="31"/>
        <v>2</v>
      </c>
      <c r="C400" s="7">
        <v>41795</v>
      </c>
      <c r="D400" s="8" t="s">
        <v>1031</v>
      </c>
      <c r="E400" s="8">
        <v>41</v>
      </c>
      <c r="F400" s="8" t="s">
        <v>1032</v>
      </c>
      <c r="G400" s="8" t="s">
        <v>24</v>
      </c>
      <c r="H400" s="8" t="s">
        <v>39</v>
      </c>
      <c r="I400" s="8" t="s">
        <v>26</v>
      </c>
      <c r="J400" s="8" t="s">
        <v>489</v>
      </c>
      <c r="K400" s="8" t="s">
        <v>33</v>
      </c>
      <c r="L400" s="8" t="s">
        <v>54</v>
      </c>
      <c r="M400" s="8" t="s">
        <v>30</v>
      </c>
      <c r="N400" s="26">
        <v>41797</v>
      </c>
      <c r="O400" s="14">
        <v>19.98</v>
      </c>
      <c r="P400" s="8">
        <v>10</v>
      </c>
      <c r="Q400" s="19">
        <f t="shared" si="30"/>
        <v>199.8</v>
      </c>
      <c r="R400" s="20">
        <v>0.1</v>
      </c>
      <c r="S400" s="29">
        <f t="shared" si="32"/>
        <v>19.980000000000004</v>
      </c>
      <c r="T400" s="20">
        <f t="shared" si="33"/>
        <v>179.82</v>
      </c>
      <c r="U400" s="21">
        <v>5.77</v>
      </c>
      <c r="V400" s="31">
        <f t="shared" si="34"/>
        <v>185.59</v>
      </c>
    </row>
    <row r="401" spans="1:22" x14ac:dyDescent="0.3">
      <c r="A401" s="6" t="s">
        <v>1033</v>
      </c>
      <c r="B401" s="6">
        <f t="shared" si="31"/>
        <v>2</v>
      </c>
      <c r="C401" s="7">
        <v>41797</v>
      </c>
      <c r="D401" s="8" t="s">
        <v>1034</v>
      </c>
      <c r="E401" s="8">
        <v>41</v>
      </c>
      <c r="F401" s="8" t="s">
        <v>628</v>
      </c>
      <c r="G401" s="8" t="s">
        <v>58</v>
      </c>
      <c r="H401" s="8" t="s">
        <v>398</v>
      </c>
      <c r="I401" s="8" t="s">
        <v>26</v>
      </c>
      <c r="J401" s="8" t="s">
        <v>137</v>
      </c>
      <c r="K401" s="8" t="s">
        <v>28</v>
      </c>
      <c r="L401" s="8" t="s">
        <v>138</v>
      </c>
      <c r="M401" s="8" t="s">
        <v>139</v>
      </c>
      <c r="N401" s="26">
        <v>41798</v>
      </c>
      <c r="O401" s="14">
        <v>449.99</v>
      </c>
      <c r="P401" s="8">
        <v>5</v>
      </c>
      <c r="Q401" s="19">
        <f t="shared" si="30"/>
        <v>2249.9499999999998</v>
      </c>
      <c r="R401" s="20">
        <v>0.01</v>
      </c>
      <c r="S401" s="29">
        <f t="shared" si="32"/>
        <v>22.499499999999998</v>
      </c>
      <c r="T401" s="20">
        <f t="shared" si="33"/>
        <v>2227.4504999999999</v>
      </c>
      <c r="U401" s="21">
        <v>49</v>
      </c>
      <c r="V401" s="31">
        <f t="shared" si="34"/>
        <v>2276.4504999999999</v>
      </c>
    </row>
    <row r="402" spans="1:22" x14ac:dyDescent="0.3">
      <c r="A402" s="6" t="s">
        <v>1035</v>
      </c>
      <c r="B402" s="6">
        <f t="shared" si="31"/>
        <v>2</v>
      </c>
      <c r="C402" s="7">
        <v>41798</v>
      </c>
      <c r="D402" s="8" t="s">
        <v>1036</v>
      </c>
      <c r="E402" s="8">
        <v>411412</v>
      </c>
      <c r="F402" s="8" t="s">
        <v>1037</v>
      </c>
      <c r="G402" s="8" t="s">
        <v>24</v>
      </c>
      <c r="H402" s="8" t="s">
        <v>48</v>
      </c>
      <c r="I402" s="8" t="s">
        <v>49</v>
      </c>
      <c r="J402" s="8" t="s">
        <v>112</v>
      </c>
      <c r="K402" s="8" t="s">
        <v>33</v>
      </c>
      <c r="L402" s="8" t="s">
        <v>54</v>
      </c>
      <c r="M402" s="8" t="s">
        <v>42</v>
      </c>
      <c r="N402" s="26">
        <v>41800</v>
      </c>
      <c r="O402" s="14">
        <v>3.58</v>
      </c>
      <c r="P402" s="8">
        <v>44</v>
      </c>
      <c r="Q402" s="19">
        <f t="shared" si="30"/>
        <v>157.52000000000001</v>
      </c>
      <c r="R402" s="20">
        <v>0.06</v>
      </c>
      <c r="S402" s="29">
        <f t="shared" si="32"/>
        <v>9.4512</v>
      </c>
      <c r="T402" s="20">
        <f t="shared" si="33"/>
        <v>148.06880000000001</v>
      </c>
      <c r="U402" s="21">
        <v>5.47</v>
      </c>
      <c r="V402" s="31">
        <f t="shared" si="34"/>
        <v>153.53880000000001</v>
      </c>
    </row>
    <row r="403" spans="1:22" x14ac:dyDescent="0.3">
      <c r="A403" s="6" t="s">
        <v>1038</v>
      </c>
      <c r="B403" s="6">
        <f t="shared" si="31"/>
        <v>2</v>
      </c>
      <c r="C403" s="7">
        <v>41799</v>
      </c>
      <c r="D403" s="8" t="s">
        <v>487</v>
      </c>
      <c r="E403" s="8">
        <v>203204</v>
      </c>
      <c r="F403" s="8" t="s">
        <v>488</v>
      </c>
      <c r="G403" s="8" t="s">
        <v>38</v>
      </c>
      <c r="H403" s="8" t="s">
        <v>59</v>
      </c>
      <c r="I403" s="8" t="s">
        <v>136</v>
      </c>
      <c r="J403" s="8" t="s">
        <v>803</v>
      </c>
      <c r="K403" s="8" t="s">
        <v>243</v>
      </c>
      <c r="L403" s="8" t="s">
        <v>29</v>
      </c>
      <c r="M403" s="8" t="s">
        <v>30</v>
      </c>
      <c r="N403" s="26">
        <v>41799</v>
      </c>
      <c r="O403" s="14">
        <v>18.649999999999999</v>
      </c>
      <c r="P403" s="8">
        <v>18</v>
      </c>
      <c r="Q403" s="19">
        <f t="shared" si="30"/>
        <v>335.7</v>
      </c>
      <c r="R403" s="20">
        <v>0.1</v>
      </c>
      <c r="S403" s="29">
        <f t="shared" si="32"/>
        <v>33.57</v>
      </c>
      <c r="T403" s="20">
        <f t="shared" si="33"/>
        <v>302.13</v>
      </c>
      <c r="U403" s="21">
        <v>3.77</v>
      </c>
      <c r="V403" s="31">
        <f t="shared" si="34"/>
        <v>305.89999999999998</v>
      </c>
    </row>
    <row r="404" spans="1:22" x14ac:dyDescent="0.3">
      <c r="A404" s="6" t="s">
        <v>1039</v>
      </c>
      <c r="B404" s="6">
        <f t="shared" si="31"/>
        <v>2</v>
      </c>
      <c r="C404" s="7">
        <v>41803</v>
      </c>
      <c r="D404" s="8" t="s">
        <v>1040</v>
      </c>
      <c r="E404" s="8">
        <v>413414</v>
      </c>
      <c r="F404" s="8" t="s">
        <v>1041</v>
      </c>
      <c r="G404" s="8" t="s">
        <v>24</v>
      </c>
      <c r="H404" s="8" t="s">
        <v>118</v>
      </c>
      <c r="I404" s="8" t="s">
        <v>40</v>
      </c>
      <c r="J404" s="8" t="s">
        <v>526</v>
      </c>
      <c r="K404" s="8" t="s">
        <v>33</v>
      </c>
      <c r="L404" s="8" t="s">
        <v>54</v>
      </c>
      <c r="M404" s="8" t="s">
        <v>42</v>
      </c>
      <c r="N404" s="26">
        <v>41812</v>
      </c>
      <c r="O404" s="14">
        <v>30.98</v>
      </c>
      <c r="P404" s="8">
        <v>46</v>
      </c>
      <c r="Q404" s="19">
        <f t="shared" si="30"/>
        <v>1425.08</v>
      </c>
      <c r="R404" s="20">
        <v>0.04</v>
      </c>
      <c r="S404" s="29">
        <f t="shared" si="32"/>
        <v>57.0032</v>
      </c>
      <c r="T404" s="20">
        <f t="shared" si="33"/>
        <v>1368.0767999999998</v>
      </c>
      <c r="U404" s="21">
        <v>19.510000000000002</v>
      </c>
      <c r="V404" s="31">
        <f t="shared" si="34"/>
        <v>1387.5867999999998</v>
      </c>
    </row>
    <row r="405" spans="1:22" x14ac:dyDescent="0.3">
      <c r="A405" s="6" t="s">
        <v>1042</v>
      </c>
      <c r="B405" s="6">
        <f t="shared" si="31"/>
        <v>2</v>
      </c>
      <c r="C405" s="7">
        <v>41806</v>
      </c>
      <c r="D405" s="8" t="s">
        <v>903</v>
      </c>
      <c r="E405" s="8">
        <v>36</v>
      </c>
      <c r="F405" s="8" t="s">
        <v>904</v>
      </c>
      <c r="G405" s="8" t="s">
        <v>85</v>
      </c>
      <c r="H405" s="8" t="s">
        <v>130</v>
      </c>
      <c r="I405" s="8" t="s">
        <v>40</v>
      </c>
      <c r="J405" s="8" t="s">
        <v>374</v>
      </c>
      <c r="K405" s="8" t="s">
        <v>33</v>
      </c>
      <c r="L405" s="8" t="s">
        <v>54</v>
      </c>
      <c r="M405" s="8" t="s">
        <v>30</v>
      </c>
      <c r="N405" s="26">
        <v>41811</v>
      </c>
      <c r="O405" s="14">
        <v>5.68</v>
      </c>
      <c r="P405" s="8">
        <v>32</v>
      </c>
      <c r="Q405" s="19">
        <f t="shared" ref="Q405:Q468" si="35">PRODUCT(O405,P405)</f>
        <v>181.76</v>
      </c>
      <c r="R405" s="20">
        <v>0.1</v>
      </c>
      <c r="S405" s="29">
        <f t="shared" si="32"/>
        <v>18.175999999999998</v>
      </c>
      <c r="T405" s="20">
        <f t="shared" si="33"/>
        <v>163.584</v>
      </c>
      <c r="U405" s="21">
        <v>1.39</v>
      </c>
      <c r="V405" s="31">
        <f t="shared" si="34"/>
        <v>164.97399999999999</v>
      </c>
    </row>
    <row r="406" spans="1:22" x14ac:dyDescent="0.3">
      <c r="A406" s="6" t="s">
        <v>1043</v>
      </c>
      <c r="B406" s="6">
        <f t="shared" si="31"/>
        <v>2</v>
      </c>
      <c r="C406" s="7">
        <v>41807</v>
      </c>
      <c r="D406" s="8" t="s">
        <v>369</v>
      </c>
      <c r="E406" s="8">
        <v>169170</v>
      </c>
      <c r="F406" s="8" t="s">
        <v>370</v>
      </c>
      <c r="G406" s="8" t="s">
        <v>85</v>
      </c>
      <c r="H406" s="8" t="s">
        <v>118</v>
      </c>
      <c r="I406" s="8" t="s">
        <v>26</v>
      </c>
      <c r="J406" s="8" t="s">
        <v>145</v>
      </c>
      <c r="K406" s="8" t="s">
        <v>33</v>
      </c>
      <c r="L406" s="8" t="s">
        <v>54</v>
      </c>
      <c r="M406" s="8" t="s">
        <v>30</v>
      </c>
      <c r="N406" s="26">
        <v>41808</v>
      </c>
      <c r="O406" s="14">
        <v>1.88</v>
      </c>
      <c r="P406" s="8">
        <v>19</v>
      </c>
      <c r="Q406" s="19">
        <f t="shared" si="35"/>
        <v>35.72</v>
      </c>
      <c r="R406" s="20">
        <v>7.0000000000000007E-2</v>
      </c>
      <c r="S406" s="29">
        <f t="shared" si="32"/>
        <v>2.5004</v>
      </c>
      <c r="T406" s="20">
        <f t="shared" si="33"/>
        <v>33.2196</v>
      </c>
      <c r="U406" s="21">
        <v>1.49</v>
      </c>
      <c r="V406" s="31">
        <f t="shared" si="34"/>
        <v>34.709600000000002</v>
      </c>
    </row>
    <row r="407" spans="1:22" x14ac:dyDescent="0.3">
      <c r="A407" s="6" t="s">
        <v>1044</v>
      </c>
      <c r="B407" s="6">
        <f t="shared" si="31"/>
        <v>2</v>
      </c>
      <c r="C407" s="7">
        <v>41808</v>
      </c>
      <c r="D407" s="8" t="s">
        <v>168</v>
      </c>
      <c r="E407" s="8">
        <v>12</v>
      </c>
      <c r="F407" s="8" t="s">
        <v>169</v>
      </c>
      <c r="G407" s="8" t="s">
        <v>24</v>
      </c>
      <c r="H407" s="8" t="s">
        <v>39</v>
      </c>
      <c r="I407" s="8" t="s">
        <v>136</v>
      </c>
      <c r="J407" s="8" t="s">
        <v>299</v>
      </c>
      <c r="K407" s="8" t="s">
        <v>33</v>
      </c>
      <c r="L407" s="8" t="s">
        <v>34</v>
      </c>
      <c r="M407" s="8" t="s">
        <v>30</v>
      </c>
      <c r="N407" s="26">
        <v>41808</v>
      </c>
      <c r="O407" s="14">
        <v>3.71</v>
      </c>
      <c r="P407" s="8">
        <v>39</v>
      </c>
      <c r="Q407" s="19">
        <f t="shared" si="35"/>
        <v>144.69</v>
      </c>
      <c r="R407" s="20">
        <v>0.06</v>
      </c>
      <c r="S407" s="29">
        <f t="shared" si="32"/>
        <v>8.6814</v>
      </c>
      <c r="T407" s="20">
        <f t="shared" si="33"/>
        <v>136.0086</v>
      </c>
      <c r="U407" s="21">
        <v>1.93</v>
      </c>
      <c r="V407" s="31">
        <f t="shared" si="34"/>
        <v>137.93860000000001</v>
      </c>
    </row>
    <row r="408" spans="1:22" x14ac:dyDescent="0.3">
      <c r="A408" s="6" t="s">
        <v>1045</v>
      </c>
      <c r="B408" s="6">
        <f t="shared" si="31"/>
        <v>2</v>
      </c>
      <c r="C408" s="7">
        <v>41808</v>
      </c>
      <c r="D408" s="8" t="s">
        <v>322</v>
      </c>
      <c r="E408" s="8">
        <v>1516</v>
      </c>
      <c r="F408" s="8" t="s">
        <v>323</v>
      </c>
      <c r="G408" s="8" t="s">
        <v>38</v>
      </c>
      <c r="H408" s="8" t="s">
        <v>298</v>
      </c>
      <c r="I408" s="8" t="s">
        <v>60</v>
      </c>
      <c r="J408" s="8" t="s">
        <v>199</v>
      </c>
      <c r="K408" s="8" t="s">
        <v>33</v>
      </c>
      <c r="L408" s="8" t="s">
        <v>34</v>
      </c>
      <c r="M408" s="8" t="s">
        <v>30</v>
      </c>
      <c r="N408" s="26">
        <v>41808</v>
      </c>
      <c r="O408" s="14">
        <v>3.14</v>
      </c>
      <c r="P408" s="8">
        <v>32</v>
      </c>
      <c r="Q408" s="19">
        <f t="shared" si="35"/>
        <v>100.48</v>
      </c>
      <c r="R408" s="20">
        <v>0.03</v>
      </c>
      <c r="S408" s="29">
        <f t="shared" si="32"/>
        <v>3.0144000000000002</v>
      </c>
      <c r="T408" s="20">
        <f t="shared" si="33"/>
        <v>97.465600000000009</v>
      </c>
      <c r="U408" s="21">
        <v>1.1399999999999999</v>
      </c>
      <c r="V408" s="31">
        <f t="shared" si="34"/>
        <v>98.60560000000001</v>
      </c>
    </row>
    <row r="409" spans="1:22" x14ac:dyDescent="0.3">
      <c r="A409" s="6" t="s">
        <v>1046</v>
      </c>
      <c r="B409" s="6">
        <f t="shared" si="31"/>
        <v>2</v>
      </c>
      <c r="C409" s="7">
        <v>41809</v>
      </c>
      <c r="D409" s="8" t="s">
        <v>1047</v>
      </c>
      <c r="E409" s="8">
        <v>4142</v>
      </c>
      <c r="F409" s="8" t="s">
        <v>1048</v>
      </c>
      <c r="G409" s="8" t="s">
        <v>58</v>
      </c>
      <c r="H409" s="8" t="s">
        <v>48</v>
      </c>
      <c r="I409" s="8" t="s">
        <v>26</v>
      </c>
      <c r="J409" s="8" t="s">
        <v>446</v>
      </c>
      <c r="K409" s="8" t="s">
        <v>33</v>
      </c>
      <c r="L409" s="8" t="s">
        <v>34</v>
      </c>
      <c r="M409" s="8" t="s">
        <v>30</v>
      </c>
      <c r="N409" s="26">
        <v>41811</v>
      </c>
      <c r="O409" s="14">
        <v>36.549999999999997</v>
      </c>
      <c r="P409" s="8">
        <v>48</v>
      </c>
      <c r="Q409" s="19">
        <f t="shared" si="35"/>
        <v>1754.3999999999999</v>
      </c>
      <c r="R409" s="20">
        <v>7.0000000000000007E-2</v>
      </c>
      <c r="S409" s="29">
        <f t="shared" si="32"/>
        <v>122.80800000000001</v>
      </c>
      <c r="T409" s="20">
        <f t="shared" si="33"/>
        <v>1631.5919999999999</v>
      </c>
      <c r="U409" s="21">
        <v>13.89</v>
      </c>
      <c r="V409" s="31">
        <f t="shared" si="34"/>
        <v>1645.482</v>
      </c>
    </row>
    <row r="410" spans="1:22" x14ac:dyDescent="0.3">
      <c r="A410" s="6" t="s">
        <v>1049</v>
      </c>
      <c r="B410" s="6">
        <f t="shared" si="31"/>
        <v>2</v>
      </c>
      <c r="C410" s="7">
        <v>41809</v>
      </c>
      <c r="D410" s="8" t="s">
        <v>1050</v>
      </c>
      <c r="E410" s="8">
        <v>415416</v>
      </c>
      <c r="F410" s="8" t="s">
        <v>1051</v>
      </c>
      <c r="G410" s="8" t="s">
        <v>58</v>
      </c>
      <c r="H410" s="8" t="s">
        <v>59</v>
      </c>
      <c r="I410" s="8" t="s">
        <v>49</v>
      </c>
      <c r="J410" s="8" t="s">
        <v>263</v>
      </c>
      <c r="K410" s="8" t="s">
        <v>28</v>
      </c>
      <c r="L410" s="8" t="s">
        <v>29</v>
      </c>
      <c r="M410" s="8" t="s">
        <v>30</v>
      </c>
      <c r="N410" s="26">
        <v>41811</v>
      </c>
      <c r="O410" s="14">
        <v>35.409999999999997</v>
      </c>
      <c r="P410" s="8">
        <v>21</v>
      </c>
      <c r="Q410" s="19">
        <f t="shared" si="35"/>
        <v>743.6099999999999</v>
      </c>
      <c r="R410" s="20">
        <v>0.01</v>
      </c>
      <c r="S410" s="29">
        <f t="shared" si="32"/>
        <v>7.4360999999999988</v>
      </c>
      <c r="T410" s="20">
        <f t="shared" si="33"/>
        <v>736.17389999999989</v>
      </c>
      <c r="U410" s="21">
        <v>1.99</v>
      </c>
      <c r="V410" s="31">
        <f t="shared" si="34"/>
        <v>738.1638999999999</v>
      </c>
    </row>
    <row r="411" spans="1:22" x14ac:dyDescent="0.3">
      <c r="A411" s="6" t="s">
        <v>1052</v>
      </c>
      <c r="B411" s="6">
        <f t="shared" si="31"/>
        <v>2</v>
      </c>
      <c r="C411" s="7">
        <v>41809</v>
      </c>
      <c r="D411" s="8" t="s">
        <v>660</v>
      </c>
      <c r="E411" s="8">
        <v>26</v>
      </c>
      <c r="F411" s="8" t="s">
        <v>661</v>
      </c>
      <c r="G411" s="8" t="s">
        <v>85</v>
      </c>
      <c r="H411" s="8" t="s">
        <v>118</v>
      </c>
      <c r="I411" s="8" t="s">
        <v>136</v>
      </c>
      <c r="J411" s="8" t="s">
        <v>316</v>
      </c>
      <c r="K411" s="8" t="s">
        <v>33</v>
      </c>
      <c r="L411" s="8" t="s">
        <v>54</v>
      </c>
      <c r="M411" s="8" t="s">
        <v>30</v>
      </c>
      <c r="N411" s="26">
        <v>41811</v>
      </c>
      <c r="O411" s="14">
        <v>162.93</v>
      </c>
      <c r="P411" s="8">
        <v>16</v>
      </c>
      <c r="Q411" s="19">
        <f t="shared" si="35"/>
        <v>2606.88</v>
      </c>
      <c r="R411" s="20">
        <v>0.1</v>
      </c>
      <c r="S411" s="29">
        <f t="shared" si="32"/>
        <v>260.68800000000005</v>
      </c>
      <c r="T411" s="20">
        <f t="shared" si="33"/>
        <v>2346.192</v>
      </c>
      <c r="U411" s="21">
        <v>19.989999999999998</v>
      </c>
      <c r="V411" s="31">
        <f t="shared" si="34"/>
        <v>2366.1819999999998</v>
      </c>
    </row>
    <row r="412" spans="1:22" x14ac:dyDescent="0.3">
      <c r="A412" s="6" t="s">
        <v>1053</v>
      </c>
      <c r="B412" s="6">
        <f t="shared" si="31"/>
        <v>2</v>
      </c>
      <c r="C412" s="7">
        <v>41812</v>
      </c>
      <c r="D412" s="8" t="s">
        <v>1054</v>
      </c>
      <c r="E412" s="8">
        <v>417418</v>
      </c>
      <c r="F412" s="8" t="s">
        <v>425</v>
      </c>
      <c r="G412" s="8" t="s">
        <v>24</v>
      </c>
      <c r="H412" s="8" t="s">
        <v>398</v>
      </c>
      <c r="I412" s="8" t="s">
        <v>49</v>
      </c>
      <c r="J412" s="8" t="s">
        <v>242</v>
      </c>
      <c r="K412" s="8" t="s">
        <v>243</v>
      </c>
      <c r="L412" s="8" t="s">
        <v>106</v>
      </c>
      <c r="M412" s="8" t="s">
        <v>42</v>
      </c>
      <c r="N412" s="26">
        <v>41814</v>
      </c>
      <c r="O412" s="14">
        <v>136.97999999999999</v>
      </c>
      <c r="P412" s="8">
        <v>17</v>
      </c>
      <c r="Q412" s="19">
        <f t="shared" si="35"/>
        <v>2328.66</v>
      </c>
      <c r="R412" s="20">
        <v>0</v>
      </c>
      <c r="S412" s="29">
        <f t="shared" si="32"/>
        <v>0</v>
      </c>
      <c r="T412" s="20">
        <f t="shared" si="33"/>
        <v>2328.66</v>
      </c>
      <c r="U412" s="21">
        <v>24.49</v>
      </c>
      <c r="V412" s="31">
        <f t="shared" si="34"/>
        <v>2353.1499999999996</v>
      </c>
    </row>
    <row r="413" spans="1:22" x14ac:dyDescent="0.3">
      <c r="A413" s="6" t="s">
        <v>1055</v>
      </c>
      <c r="B413" s="6">
        <f t="shared" si="31"/>
        <v>2</v>
      </c>
      <c r="C413" s="7">
        <v>41812</v>
      </c>
      <c r="D413" s="8" t="s">
        <v>1056</v>
      </c>
      <c r="E413" s="8">
        <v>419420</v>
      </c>
      <c r="F413" s="8" t="s">
        <v>144</v>
      </c>
      <c r="G413" s="8" t="s">
        <v>58</v>
      </c>
      <c r="H413" s="8" t="s">
        <v>398</v>
      </c>
      <c r="I413" s="8" t="s">
        <v>26</v>
      </c>
      <c r="J413" s="8" t="s">
        <v>844</v>
      </c>
      <c r="K413" s="8" t="s">
        <v>33</v>
      </c>
      <c r="L413" s="8" t="s">
        <v>54</v>
      </c>
      <c r="M413" s="8" t="s">
        <v>42</v>
      </c>
      <c r="N413" s="26">
        <v>41814</v>
      </c>
      <c r="O413" s="14">
        <v>4.91</v>
      </c>
      <c r="P413" s="8">
        <v>24</v>
      </c>
      <c r="Q413" s="19">
        <f t="shared" si="35"/>
        <v>117.84</v>
      </c>
      <c r="R413" s="20">
        <v>0.01</v>
      </c>
      <c r="S413" s="29">
        <f t="shared" si="32"/>
        <v>1.1784000000000001</v>
      </c>
      <c r="T413" s="20">
        <f t="shared" si="33"/>
        <v>116.66160000000001</v>
      </c>
      <c r="U413" s="21">
        <v>0.5</v>
      </c>
      <c r="V413" s="31">
        <f t="shared" si="34"/>
        <v>117.16160000000001</v>
      </c>
    </row>
    <row r="414" spans="1:22" x14ac:dyDescent="0.3">
      <c r="A414" s="6" t="s">
        <v>1057</v>
      </c>
      <c r="B414" s="6">
        <f t="shared" si="31"/>
        <v>2</v>
      </c>
      <c r="C414" s="7">
        <v>41813</v>
      </c>
      <c r="D414" s="8" t="s">
        <v>1058</v>
      </c>
      <c r="E414" s="8">
        <v>42</v>
      </c>
      <c r="F414" s="8" t="s">
        <v>1059</v>
      </c>
      <c r="G414" s="8" t="s">
        <v>85</v>
      </c>
      <c r="H414" s="8" t="s">
        <v>39</v>
      </c>
      <c r="I414" s="8" t="s">
        <v>26</v>
      </c>
      <c r="J414" s="8" t="s">
        <v>1060</v>
      </c>
      <c r="K414" s="8" t="s">
        <v>33</v>
      </c>
      <c r="L414" s="8" t="s">
        <v>54</v>
      </c>
      <c r="M414" s="8" t="s">
        <v>30</v>
      </c>
      <c r="N414" s="26">
        <v>41813</v>
      </c>
      <c r="O414" s="14">
        <v>2.88</v>
      </c>
      <c r="P414" s="8">
        <v>8</v>
      </c>
      <c r="Q414" s="19">
        <f t="shared" si="35"/>
        <v>23.04</v>
      </c>
      <c r="R414" s="20">
        <v>7.0000000000000007E-2</v>
      </c>
      <c r="S414" s="29">
        <f t="shared" si="32"/>
        <v>1.6128</v>
      </c>
      <c r="T414" s="20">
        <f t="shared" si="33"/>
        <v>21.427199999999999</v>
      </c>
      <c r="U414" s="21">
        <v>0.99</v>
      </c>
      <c r="V414" s="31">
        <f t="shared" si="34"/>
        <v>22.417199999999998</v>
      </c>
    </row>
    <row r="415" spans="1:22" x14ac:dyDescent="0.3">
      <c r="A415" s="6" t="s">
        <v>1061</v>
      </c>
      <c r="B415" s="6">
        <f t="shared" si="31"/>
        <v>2</v>
      </c>
      <c r="C415" s="7">
        <v>41815</v>
      </c>
      <c r="D415" s="8" t="s">
        <v>522</v>
      </c>
      <c r="E415" s="8">
        <v>213214</v>
      </c>
      <c r="F415" s="8" t="s">
        <v>393</v>
      </c>
      <c r="G415" s="8" t="s">
        <v>38</v>
      </c>
      <c r="H415" s="8" t="s">
        <v>59</v>
      </c>
      <c r="I415" s="8" t="s">
        <v>49</v>
      </c>
      <c r="J415" s="8" t="s">
        <v>761</v>
      </c>
      <c r="K415" s="8" t="s">
        <v>33</v>
      </c>
      <c r="L415" s="8" t="s">
        <v>29</v>
      </c>
      <c r="M415" s="8" t="s">
        <v>30</v>
      </c>
      <c r="N415" s="26">
        <v>41815</v>
      </c>
      <c r="O415" s="14">
        <v>40.97</v>
      </c>
      <c r="P415" s="8">
        <v>47</v>
      </c>
      <c r="Q415" s="19">
        <f t="shared" si="35"/>
        <v>1925.59</v>
      </c>
      <c r="R415" s="20">
        <v>0.06</v>
      </c>
      <c r="S415" s="29">
        <f t="shared" si="32"/>
        <v>115.5354</v>
      </c>
      <c r="T415" s="20">
        <f t="shared" si="33"/>
        <v>1810.0545999999999</v>
      </c>
      <c r="U415" s="21">
        <v>8.99</v>
      </c>
      <c r="V415" s="31">
        <f t="shared" si="34"/>
        <v>1819.0445999999999</v>
      </c>
    </row>
    <row r="416" spans="1:22" x14ac:dyDescent="0.3">
      <c r="A416" s="6" t="s">
        <v>1062</v>
      </c>
      <c r="B416" s="6">
        <f t="shared" si="31"/>
        <v>2</v>
      </c>
      <c r="C416" s="7">
        <v>41817</v>
      </c>
      <c r="D416" s="8" t="s">
        <v>234</v>
      </c>
      <c r="E416" s="8">
        <v>1314</v>
      </c>
      <c r="F416" s="8" t="s">
        <v>235</v>
      </c>
      <c r="G416" s="8" t="s">
        <v>38</v>
      </c>
      <c r="H416" s="8" t="s">
        <v>48</v>
      </c>
      <c r="I416" s="8" t="s">
        <v>136</v>
      </c>
      <c r="J416" s="8" t="s">
        <v>201</v>
      </c>
      <c r="K416" s="8" t="s">
        <v>33</v>
      </c>
      <c r="L416" s="8" t="s">
        <v>29</v>
      </c>
      <c r="M416" s="8" t="s">
        <v>30</v>
      </c>
      <c r="N416" s="26">
        <v>41818</v>
      </c>
      <c r="O416" s="14">
        <v>3.57</v>
      </c>
      <c r="P416" s="8">
        <v>46</v>
      </c>
      <c r="Q416" s="19">
        <f t="shared" si="35"/>
        <v>164.22</v>
      </c>
      <c r="R416" s="20">
        <v>0.01</v>
      </c>
      <c r="S416" s="29">
        <f t="shared" si="32"/>
        <v>1.6422000000000001</v>
      </c>
      <c r="T416" s="20">
        <f t="shared" si="33"/>
        <v>162.5778</v>
      </c>
      <c r="U416" s="21">
        <v>4.17</v>
      </c>
      <c r="V416" s="31">
        <f t="shared" si="34"/>
        <v>166.74779999999998</v>
      </c>
    </row>
    <row r="417" spans="1:22" x14ac:dyDescent="0.3">
      <c r="A417" s="6" t="s">
        <v>115</v>
      </c>
      <c r="B417" s="6">
        <f t="shared" si="31"/>
        <v>2</v>
      </c>
      <c r="C417" s="7">
        <v>41819</v>
      </c>
      <c r="D417" s="8" t="s">
        <v>116</v>
      </c>
      <c r="E417" s="8">
        <v>11</v>
      </c>
      <c r="F417" s="8" t="s">
        <v>117</v>
      </c>
      <c r="G417" s="8" t="s">
        <v>85</v>
      </c>
      <c r="H417" s="8" t="s">
        <v>118</v>
      </c>
      <c r="I417" s="8" t="s">
        <v>49</v>
      </c>
      <c r="J417" s="8" t="s">
        <v>119</v>
      </c>
      <c r="K417" s="8" t="s">
        <v>33</v>
      </c>
      <c r="L417" s="8" t="s">
        <v>54</v>
      </c>
      <c r="M417" s="8" t="s">
        <v>30</v>
      </c>
      <c r="N417" s="26">
        <v>41820</v>
      </c>
      <c r="O417" s="14">
        <v>7.3</v>
      </c>
      <c r="P417" s="8">
        <v>50</v>
      </c>
      <c r="Q417" s="19">
        <f t="shared" si="35"/>
        <v>365</v>
      </c>
      <c r="R417" s="20">
        <v>0.02</v>
      </c>
      <c r="S417" s="29">
        <f t="shared" si="32"/>
        <v>7.3</v>
      </c>
      <c r="T417" s="20">
        <f t="shared" si="33"/>
        <v>357.7</v>
      </c>
      <c r="U417" s="21">
        <v>7.72</v>
      </c>
      <c r="V417" s="31">
        <f t="shared" si="34"/>
        <v>365.42</v>
      </c>
    </row>
    <row r="418" spans="1:22" x14ac:dyDescent="0.3">
      <c r="A418" s="6" t="s">
        <v>120</v>
      </c>
      <c r="B418" s="6">
        <f t="shared" si="31"/>
        <v>2</v>
      </c>
      <c r="C418" s="7">
        <v>41819</v>
      </c>
      <c r="D418" s="8" t="s">
        <v>116</v>
      </c>
      <c r="E418" s="8">
        <v>11</v>
      </c>
      <c r="F418" s="8" t="s">
        <v>117</v>
      </c>
      <c r="G418" s="8" t="s">
        <v>85</v>
      </c>
      <c r="H418" s="8" t="s">
        <v>118</v>
      </c>
      <c r="I418" s="8" t="s">
        <v>49</v>
      </c>
      <c r="J418" s="8" t="s">
        <v>121</v>
      </c>
      <c r="K418" s="8" t="s">
        <v>33</v>
      </c>
      <c r="L418" s="8" t="s">
        <v>34</v>
      </c>
      <c r="M418" s="8" t="s">
        <v>30</v>
      </c>
      <c r="N418" s="26">
        <v>41820</v>
      </c>
      <c r="O418" s="14">
        <v>2.4700000000000002</v>
      </c>
      <c r="P418" s="8">
        <v>43</v>
      </c>
      <c r="Q418" s="19">
        <f t="shared" si="35"/>
        <v>106.21000000000001</v>
      </c>
      <c r="R418" s="20">
        <v>0.02</v>
      </c>
      <c r="S418" s="29">
        <f t="shared" si="32"/>
        <v>2.1242000000000001</v>
      </c>
      <c r="T418" s="20">
        <f t="shared" si="33"/>
        <v>104.08580000000001</v>
      </c>
      <c r="U418" s="21">
        <v>1.02</v>
      </c>
      <c r="V418" s="31">
        <f t="shared" si="34"/>
        <v>105.1058</v>
      </c>
    </row>
    <row r="419" spans="1:22" x14ac:dyDescent="0.3">
      <c r="A419" s="6" t="s">
        <v>1100</v>
      </c>
      <c r="B419" s="6">
        <f t="shared" si="31"/>
        <v>2</v>
      </c>
      <c r="C419" s="7">
        <v>41819</v>
      </c>
      <c r="D419" s="8" t="s">
        <v>116</v>
      </c>
      <c r="E419" s="8">
        <v>225217.10443868401</v>
      </c>
      <c r="F419" s="8" t="s">
        <v>117</v>
      </c>
      <c r="G419" s="8" t="s">
        <v>85</v>
      </c>
      <c r="H419" s="8" t="s">
        <v>118</v>
      </c>
      <c r="I419" s="8" t="s">
        <v>49</v>
      </c>
      <c r="J419" s="8" t="s">
        <v>119</v>
      </c>
      <c r="K419" s="8" t="s">
        <v>33</v>
      </c>
      <c r="L419" s="8" t="s">
        <v>54</v>
      </c>
      <c r="M419" s="8" t="s">
        <v>30</v>
      </c>
      <c r="N419" s="26">
        <v>41820</v>
      </c>
      <c r="O419" s="14">
        <v>56.882314990122303</v>
      </c>
      <c r="P419" s="8">
        <v>26.637597573887</v>
      </c>
      <c r="Q419" s="19">
        <f t="shared" si="35"/>
        <v>1515.208215777958</v>
      </c>
      <c r="R419" s="20">
        <v>4.9133137682566101E-2</v>
      </c>
      <c r="S419" s="29">
        <f t="shared" si="32"/>
        <v>74.446933883573735</v>
      </c>
      <c r="T419" s="20">
        <f t="shared" si="33"/>
        <v>1440.7612818943842</v>
      </c>
      <c r="U419" s="21">
        <v>7.3283113457325202</v>
      </c>
      <c r="V419" s="31">
        <f t="shared" si="34"/>
        <v>1448.0895932401168</v>
      </c>
    </row>
    <row r="420" spans="1:22" x14ac:dyDescent="0.3">
      <c r="A420" s="6" t="s">
        <v>1100</v>
      </c>
      <c r="B420" s="6">
        <f t="shared" si="31"/>
        <v>2</v>
      </c>
      <c r="C420" s="7">
        <v>41819</v>
      </c>
      <c r="D420" s="8" t="s">
        <v>116</v>
      </c>
      <c r="E420" s="8">
        <v>225217.10443868401</v>
      </c>
      <c r="F420" s="8" t="s">
        <v>117</v>
      </c>
      <c r="G420" s="8" t="s">
        <v>85</v>
      </c>
      <c r="H420" s="8" t="s">
        <v>118</v>
      </c>
      <c r="I420" s="8" t="s">
        <v>49</v>
      </c>
      <c r="J420" s="8" t="s">
        <v>119</v>
      </c>
      <c r="K420" s="8" t="s">
        <v>33</v>
      </c>
      <c r="L420" s="8" t="s">
        <v>54</v>
      </c>
      <c r="M420" s="8" t="s">
        <v>30</v>
      </c>
      <c r="N420" s="26">
        <v>41820</v>
      </c>
      <c r="O420" s="14">
        <v>56.882314990122303</v>
      </c>
      <c r="P420" s="8">
        <v>26.637597573887</v>
      </c>
      <c r="Q420" s="19">
        <f t="shared" si="35"/>
        <v>1515.208215777958</v>
      </c>
      <c r="R420" s="20">
        <v>4.9133137682566101E-2</v>
      </c>
      <c r="S420" s="29">
        <f t="shared" si="32"/>
        <v>74.446933883573735</v>
      </c>
      <c r="T420" s="20">
        <f t="shared" si="33"/>
        <v>1440.7612818943842</v>
      </c>
      <c r="U420" s="21">
        <v>7.3283113457325202</v>
      </c>
      <c r="V420" s="31">
        <f t="shared" si="34"/>
        <v>1448.0895932401168</v>
      </c>
    </row>
    <row r="421" spans="1:22" x14ac:dyDescent="0.3">
      <c r="A421" s="6" t="s">
        <v>1101</v>
      </c>
      <c r="B421" s="6">
        <f t="shared" si="31"/>
        <v>2</v>
      </c>
      <c r="C421" s="7">
        <v>41819</v>
      </c>
      <c r="D421" s="8" t="s">
        <v>116</v>
      </c>
      <c r="E421" s="8">
        <v>225605.03714129099</v>
      </c>
      <c r="F421" s="8" t="s">
        <v>117</v>
      </c>
      <c r="G421" s="8" t="s">
        <v>85</v>
      </c>
      <c r="H421" s="8" t="s">
        <v>118</v>
      </c>
      <c r="I421" s="8" t="s">
        <v>49</v>
      </c>
      <c r="J421" s="8" t="s">
        <v>121</v>
      </c>
      <c r="K421" s="8" t="s">
        <v>33</v>
      </c>
      <c r="L421" s="8" t="s">
        <v>34</v>
      </c>
      <c r="M421" s="8" t="s">
        <v>30</v>
      </c>
      <c r="N421" s="26">
        <v>41820</v>
      </c>
      <c r="O421" s="14">
        <v>56.9276998092976</v>
      </c>
      <c r="P421" s="8">
        <v>26.6406589265527</v>
      </c>
      <c r="Q421" s="19">
        <f t="shared" si="35"/>
        <v>1516.5914340926765</v>
      </c>
      <c r="R421" s="20">
        <v>4.9116888010871197E-2</v>
      </c>
      <c r="S421" s="29">
        <f t="shared" si="32"/>
        <v>74.490251626576537</v>
      </c>
      <c r="T421" s="20">
        <f t="shared" si="33"/>
        <v>1442.1011824661</v>
      </c>
      <c r="U421" s="21">
        <v>7.3335722687060398</v>
      </c>
      <c r="V421" s="31">
        <f t="shared" si="34"/>
        <v>1449.4347547348061</v>
      </c>
    </row>
    <row r="422" spans="1:22" x14ac:dyDescent="0.3">
      <c r="A422" s="6" t="s">
        <v>1101</v>
      </c>
      <c r="B422" s="6">
        <f t="shared" si="31"/>
        <v>2</v>
      </c>
      <c r="C422" s="7">
        <v>41819</v>
      </c>
      <c r="D422" s="8" t="s">
        <v>116</v>
      </c>
      <c r="E422" s="8">
        <v>225605.03714129099</v>
      </c>
      <c r="F422" s="8" t="s">
        <v>117</v>
      </c>
      <c r="G422" s="8" t="s">
        <v>85</v>
      </c>
      <c r="H422" s="8" t="s">
        <v>118</v>
      </c>
      <c r="I422" s="8" t="s">
        <v>49</v>
      </c>
      <c r="J422" s="8" t="s">
        <v>121</v>
      </c>
      <c r="K422" s="8" t="s">
        <v>33</v>
      </c>
      <c r="L422" s="8" t="s">
        <v>34</v>
      </c>
      <c r="M422" s="8" t="s">
        <v>30</v>
      </c>
      <c r="N422" s="26">
        <v>41820</v>
      </c>
      <c r="O422" s="14">
        <v>56.9276998092976</v>
      </c>
      <c r="P422" s="8">
        <v>26.6406589265527</v>
      </c>
      <c r="Q422" s="19">
        <f t="shared" si="35"/>
        <v>1516.5914340926765</v>
      </c>
      <c r="R422" s="20">
        <v>4.9116888010871197E-2</v>
      </c>
      <c r="S422" s="29">
        <f t="shared" si="32"/>
        <v>74.490251626576537</v>
      </c>
      <c r="T422" s="20">
        <f t="shared" si="33"/>
        <v>1442.1011824661</v>
      </c>
      <c r="U422" s="21">
        <v>7.3335722687060398</v>
      </c>
      <c r="V422" s="31">
        <f t="shared" si="34"/>
        <v>1449.4347547348061</v>
      </c>
    </row>
    <row r="423" spans="1:22" x14ac:dyDescent="0.3">
      <c r="A423" s="6" t="s">
        <v>1063</v>
      </c>
      <c r="B423" s="6">
        <f t="shared" si="31"/>
        <v>2</v>
      </c>
      <c r="C423" s="7">
        <v>41819</v>
      </c>
      <c r="D423" s="8" t="s">
        <v>1064</v>
      </c>
      <c r="E423" s="8">
        <v>42</v>
      </c>
      <c r="F423" s="8" t="s">
        <v>1065</v>
      </c>
      <c r="G423" s="8" t="s">
        <v>24</v>
      </c>
      <c r="H423" s="8" t="s">
        <v>39</v>
      </c>
      <c r="I423" s="8" t="s">
        <v>26</v>
      </c>
      <c r="J423" s="8" t="s">
        <v>394</v>
      </c>
      <c r="K423" s="8" t="s">
        <v>33</v>
      </c>
      <c r="L423" s="8" t="s">
        <v>54</v>
      </c>
      <c r="M423" s="8" t="s">
        <v>30</v>
      </c>
      <c r="N423" s="26">
        <v>41819</v>
      </c>
      <c r="O423" s="14">
        <v>2.61</v>
      </c>
      <c r="P423" s="8">
        <v>44</v>
      </c>
      <c r="Q423" s="19">
        <f t="shared" si="35"/>
        <v>114.83999999999999</v>
      </c>
      <c r="R423" s="20">
        <v>0.09</v>
      </c>
      <c r="S423" s="29">
        <f t="shared" si="32"/>
        <v>10.335599999999999</v>
      </c>
      <c r="T423" s="20">
        <f t="shared" si="33"/>
        <v>104.50439999999999</v>
      </c>
      <c r="U423" s="21">
        <v>0.5</v>
      </c>
      <c r="V423" s="31">
        <f t="shared" si="34"/>
        <v>105.00439999999999</v>
      </c>
    </row>
    <row r="424" spans="1:22" x14ac:dyDescent="0.3">
      <c r="A424" s="6" t="s">
        <v>1066</v>
      </c>
      <c r="B424" s="6">
        <f t="shared" si="31"/>
        <v>2</v>
      </c>
      <c r="C424" s="7">
        <v>41819</v>
      </c>
      <c r="D424" s="8" t="s">
        <v>410</v>
      </c>
      <c r="E424" s="8">
        <v>18</v>
      </c>
      <c r="F424" s="8" t="s">
        <v>411</v>
      </c>
      <c r="G424" s="8" t="s">
        <v>24</v>
      </c>
      <c r="H424" s="8" t="s">
        <v>74</v>
      </c>
      <c r="I424" s="8" t="s">
        <v>49</v>
      </c>
      <c r="J424" s="8" t="s">
        <v>281</v>
      </c>
      <c r="K424" s="8" t="s">
        <v>28</v>
      </c>
      <c r="L424" s="8" t="s">
        <v>54</v>
      </c>
      <c r="M424" s="8" t="s">
        <v>30</v>
      </c>
      <c r="N424" s="26">
        <v>41820</v>
      </c>
      <c r="O424" s="14">
        <v>29.99</v>
      </c>
      <c r="P424" s="8">
        <v>20</v>
      </c>
      <c r="Q424" s="19">
        <f t="shared" si="35"/>
        <v>599.79999999999995</v>
      </c>
      <c r="R424" s="20">
        <v>0</v>
      </c>
      <c r="S424" s="29">
        <f t="shared" si="32"/>
        <v>0</v>
      </c>
      <c r="T424" s="20">
        <f t="shared" si="33"/>
        <v>599.79999999999995</v>
      </c>
      <c r="U424" s="21">
        <v>5.5</v>
      </c>
      <c r="V424" s="31">
        <f t="shared" si="34"/>
        <v>605.29999999999995</v>
      </c>
    </row>
    <row r="425" spans="1:22" x14ac:dyDescent="0.3">
      <c r="A425" s="6" t="s">
        <v>1067</v>
      </c>
      <c r="B425" s="6">
        <f t="shared" si="31"/>
        <v>2</v>
      </c>
      <c r="C425" s="7">
        <v>41820</v>
      </c>
      <c r="D425" s="8" t="s">
        <v>1068</v>
      </c>
      <c r="E425" s="8">
        <v>42</v>
      </c>
      <c r="F425" s="8" t="s">
        <v>542</v>
      </c>
      <c r="G425" s="8" t="s">
        <v>24</v>
      </c>
      <c r="H425" s="8" t="s">
        <v>398</v>
      </c>
      <c r="I425" s="8" t="s">
        <v>26</v>
      </c>
      <c r="J425" s="8" t="s">
        <v>492</v>
      </c>
      <c r="K425" s="8" t="s">
        <v>33</v>
      </c>
      <c r="L425" s="8" t="s">
        <v>54</v>
      </c>
      <c r="M425" s="8" t="s">
        <v>30</v>
      </c>
      <c r="N425" s="26">
        <v>41823</v>
      </c>
      <c r="O425" s="14">
        <v>29.74</v>
      </c>
      <c r="P425" s="8">
        <v>4</v>
      </c>
      <c r="Q425" s="19">
        <f t="shared" si="35"/>
        <v>118.96</v>
      </c>
      <c r="R425" s="20">
        <v>0.05</v>
      </c>
      <c r="S425" s="29">
        <f t="shared" si="32"/>
        <v>5.9480000000000004</v>
      </c>
      <c r="T425" s="20">
        <f t="shared" si="33"/>
        <v>113.012</v>
      </c>
      <c r="U425" s="21">
        <v>6.64</v>
      </c>
      <c r="V425" s="31">
        <f t="shared" si="34"/>
        <v>119.652</v>
      </c>
    </row>
    <row r="426" spans="1:22" x14ac:dyDescent="0.3">
      <c r="A426" s="6" t="s">
        <v>1069</v>
      </c>
      <c r="B426" s="6">
        <f t="shared" si="31"/>
        <v>3</v>
      </c>
      <c r="C426" s="7">
        <v>41824</v>
      </c>
      <c r="D426" s="8" t="s">
        <v>1070</v>
      </c>
      <c r="E426" s="8">
        <v>42</v>
      </c>
      <c r="F426" s="8" t="s">
        <v>225</v>
      </c>
      <c r="G426" s="8" t="s">
        <v>58</v>
      </c>
      <c r="H426" s="8" t="s">
        <v>48</v>
      </c>
      <c r="I426" s="8" t="s">
        <v>136</v>
      </c>
      <c r="J426" s="8" t="s">
        <v>41</v>
      </c>
      <c r="K426" s="8" t="s">
        <v>33</v>
      </c>
      <c r="L426" s="8" t="s">
        <v>34</v>
      </c>
      <c r="M426" s="8" t="s">
        <v>30</v>
      </c>
      <c r="N426" s="26">
        <v>41826</v>
      </c>
      <c r="O426" s="14">
        <v>5.18</v>
      </c>
      <c r="P426" s="8">
        <v>43</v>
      </c>
      <c r="Q426" s="19">
        <f t="shared" si="35"/>
        <v>222.73999999999998</v>
      </c>
      <c r="R426" s="20">
        <v>0.03</v>
      </c>
      <c r="S426" s="29">
        <f t="shared" si="32"/>
        <v>6.682199999999999</v>
      </c>
      <c r="T426" s="20">
        <f t="shared" si="33"/>
        <v>216.05779999999999</v>
      </c>
      <c r="U426" s="21">
        <v>2.04</v>
      </c>
      <c r="V426" s="31">
        <f t="shared" si="34"/>
        <v>218.09779999999998</v>
      </c>
    </row>
    <row r="427" spans="1:22" x14ac:dyDescent="0.3">
      <c r="A427" s="6" t="s">
        <v>1071</v>
      </c>
      <c r="B427" s="6">
        <f t="shared" si="31"/>
        <v>3</v>
      </c>
      <c r="C427" s="7">
        <v>41825</v>
      </c>
      <c r="D427" s="8" t="s">
        <v>1072</v>
      </c>
      <c r="E427" s="8">
        <v>421422</v>
      </c>
      <c r="F427" s="8" t="s">
        <v>671</v>
      </c>
      <c r="G427" s="8" t="s">
        <v>58</v>
      </c>
      <c r="H427" s="8" t="s">
        <v>288</v>
      </c>
      <c r="I427" s="8" t="s">
        <v>60</v>
      </c>
      <c r="J427" s="8" t="s">
        <v>1073</v>
      </c>
      <c r="K427" s="8" t="s">
        <v>33</v>
      </c>
      <c r="L427" s="8" t="s">
        <v>54</v>
      </c>
      <c r="M427" s="8" t="s">
        <v>30</v>
      </c>
      <c r="N427" s="26">
        <v>41828</v>
      </c>
      <c r="O427" s="14">
        <v>2.88</v>
      </c>
      <c r="P427" s="8">
        <v>47</v>
      </c>
      <c r="Q427" s="19">
        <f t="shared" si="35"/>
        <v>135.35999999999999</v>
      </c>
      <c r="R427" s="20">
        <v>0.03</v>
      </c>
      <c r="S427" s="29">
        <f t="shared" si="32"/>
        <v>4.0607999999999995</v>
      </c>
      <c r="T427" s="20">
        <f t="shared" si="33"/>
        <v>131.29919999999998</v>
      </c>
      <c r="U427" s="21">
        <v>5.33</v>
      </c>
      <c r="V427" s="31">
        <f t="shared" si="34"/>
        <v>136.6292</v>
      </c>
    </row>
    <row r="428" spans="1:22" x14ac:dyDescent="0.3">
      <c r="A428" s="6" t="s">
        <v>1074</v>
      </c>
      <c r="B428" s="6">
        <f t="shared" si="31"/>
        <v>3</v>
      </c>
      <c r="C428" s="7">
        <v>41831</v>
      </c>
      <c r="D428" s="8" t="s">
        <v>915</v>
      </c>
      <c r="E428" s="8">
        <v>365366</v>
      </c>
      <c r="F428" s="8" t="s">
        <v>916</v>
      </c>
      <c r="G428" s="8" t="s">
        <v>58</v>
      </c>
      <c r="H428" s="8" t="s">
        <v>74</v>
      </c>
      <c r="I428" s="8" t="s">
        <v>136</v>
      </c>
      <c r="J428" s="8" t="s">
        <v>408</v>
      </c>
      <c r="K428" s="8" t="s">
        <v>28</v>
      </c>
      <c r="L428" s="8" t="s">
        <v>54</v>
      </c>
      <c r="M428" s="8" t="s">
        <v>30</v>
      </c>
      <c r="N428" s="26">
        <v>41833</v>
      </c>
      <c r="O428" s="14">
        <v>15.98</v>
      </c>
      <c r="P428" s="8">
        <v>40</v>
      </c>
      <c r="Q428" s="19">
        <f t="shared" si="35"/>
        <v>639.20000000000005</v>
      </c>
      <c r="R428" s="20">
        <v>0.03</v>
      </c>
      <c r="S428" s="29">
        <f t="shared" si="32"/>
        <v>19.176000000000002</v>
      </c>
      <c r="T428" s="20">
        <f t="shared" si="33"/>
        <v>620.024</v>
      </c>
      <c r="U428" s="21">
        <v>6.5</v>
      </c>
      <c r="V428" s="31">
        <f t="shared" si="34"/>
        <v>626.524</v>
      </c>
    </row>
    <row r="429" spans="1:22" x14ac:dyDescent="0.3">
      <c r="A429" s="6" t="s">
        <v>122</v>
      </c>
      <c r="B429" s="6">
        <f t="shared" si="31"/>
        <v>3</v>
      </c>
      <c r="C429" s="7">
        <v>41838</v>
      </c>
      <c r="D429" s="8" t="s">
        <v>123</v>
      </c>
      <c r="E429" s="8">
        <v>11</v>
      </c>
      <c r="F429" s="8" t="s">
        <v>66</v>
      </c>
      <c r="G429" s="8" t="s">
        <v>58</v>
      </c>
      <c r="H429" s="8" t="s">
        <v>39</v>
      </c>
      <c r="I429" s="8" t="s">
        <v>40</v>
      </c>
      <c r="J429" s="8" t="s">
        <v>124</v>
      </c>
      <c r="K429" s="8" t="s">
        <v>33</v>
      </c>
      <c r="L429" s="8" t="s">
        <v>34</v>
      </c>
      <c r="M429" s="8" t="s">
        <v>30</v>
      </c>
      <c r="N429" s="26">
        <v>41840</v>
      </c>
      <c r="O429" s="14">
        <v>1.81</v>
      </c>
      <c r="P429" s="8">
        <v>8</v>
      </c>
      <c r="Q429" s="19">
        <f t="shared" si="35"/>
        <v>14.48</v>
      </c>
      <c r="R429" s="20">
        <v>0.05</v>
      </c>
      <c r="S429" s="29">
        <f t="shared" si="32"/>
        <v>0.72400000000000009</v>
      </c>
      <c r="T429" s="20">
        <f t="shared" si="33"/>
        <v>13.756</v>
      </c>
      <c r="U429" s="21">
        <v>1.56</v>
      </c>
      <c r="V429" s="31">
        <f t="shared" si="34"/>
        <v>15.316000000000001</v>
      </c>
    </row>
    <row r="430" spans="1:22" x14ac:dyDescent="0.3">
      <c r="A430" s="6" t="s">
        <v>125</v>
      </c>
      <c r="B430" s="6">
        <f t="shared" si="31"/>
        <v>3</v>
      </c>
      <c r="C430" s="7">
        <v>41838</v>
      </c>
      <c r="D430" s="8" t="s">
        <v>123</v>
      </c>
      <c r="E430" s="8">
        <v>11</v>
      </c>
      <c r="F430" s="8" t="s">
        <v>66</v>
      </c>
      <c r="G430" s="8" t="s">
        <v>58</v>
      </c>
      <c r="H430" s="8" t="s">
        <v>39</v>
      </c>
      <c r="I430" s="8" t="s">
        <v>40</v>
      </c>
      <c r="J430" s="8" t="s">
        <v>126</v>
      </c>
      <c r="K430" s="8" t="s">
        <v>33</v>
      </c>
      <c r="L430" s="8" t="s">
        <v>34</v>
      </c>
      <c r="M430" s="8" t="s">
        <v>30</v>
      </c>
      <c r="N430" s="26">
        <v>41845</v>
      </c>
      <c r="O430" s="14">
        <v>3.28</v>
      </c>
      <c r="P430" s="8">
        <v>41</v>
      </c>
      <c r="Q430" s="19">
        <f t="shared" si="35"/>
        <v>134.47999999999999</v>
      </c>
      <c r="R430" s="20">
        <v>0.05</v>
      </c>
      <c r="S430" s="29">
        <f t="shared" si="32"/>
        <v>6.7240000000000002</v>
      </c>
      <c r="T430" s="20">
        <f t="shared" si="33"/>
        <v>127.75599999999999</v>
      </c>
      <c r="U430" s="21">
        <v>1.95</v>
      </c>
      <c r="V430" s="31">
        <f t="shared" si="34"/>
        <v>129.70599999999999</v>
      </c>
    </row>
    <row r="431" spans="1:22" x14ac:dyDescent="0.3">
      <c r="A431" s="6" t="s">
        <v>1102</v>
      </c>
      <c r="B431" s="6">
        <f t="shared" si="31"/>
        <v>3</v>
      </c>
      <c r="C431" s="7">
        <v>41838</v>
      </c>
      <c r="D431" s="8" t="s">
        <v>123</v>
      </c>
      <c r="E431" s="8">
        <v>225992.969843898</v>
      </c>
      <c r="F431" s="8" t="s">
        <v>66</v>
      </c>
      <c r="G431" s="8" t="s">
        <v>58</v>
      </c>
      <c r="H431" s="8" t="s">
        <v>39</v>
      </c>
      <c r="I431" s="8" t="s">
        <v>40</v>
      </c>
      <c r="J431" s="8" t="s">
        <v>124</v>
      </c>
      <c r="K431" s="8" t="s">
        <v>33</v>
      </c>
      <c r="L431" s="8" t="s">
        <v>34</v>
      </c>
      <c r="M431" s="8" t="s">
        <v>30</v>
      </c>
      <c r="N431" s="26">
        <v>41840</v>
      </c>
      <c r="O431" s="14">
        <v>56.973084628472897</v>
      </c>
      <c r="P431" s="8">
        <v>26.6437202792183</v>
      </c>
      <c r="Q431" s="19">
        <f t="shared" si="35"/>
        <v>1517.9749302852638</v>
      </c>
      <c r="R431" s="20">
        <v>4.9100638339176203E-2</v>
      </c>
      <c r="S431" s="29">
        <f t="shared" si="32"/>
        <v>74.533538059872953</v>
      </c>
      <c r="T431" s="20">
        <f t="shared" si="33"/>
        <v>1443.4413922253909</v>
      </c>
      <c r="U431" s="21">
        <v>7.3388331916795604</v>
      </c>
      <c r="V431" s="31">
        <f t="shared" si="34"/>
        <v>1450.7802254170706</v>
      </c>
    </row>
    <row r="432" spans="1:22" x14ac:dyDescent="0.3">
      <c r="A432" s="6" t="s">
        <v>1102</v>
      </c>
      <c r="B432" s="6">
        <f t="shared" si="31"/>
        <v>3</v>
      </c>
      <c r="C432" s="7">
        <v>41838</v>
      </c>
      <c r="D432" s="8" t="s">
        <v>123</v>
      </c>
      <c r="E432" s="8">
        <v>225992.969843898</v>
      </c>
      <c r="F432" s="8" t="s">
        <v>66</v>
      </c>
      <c r="G432" s="8" t="s">
        <v>58</v>
      </c>
      <c r="H432" s="8" t="s">
        <v>39</v>
      </c>
      <c r="I432" s="8" t="s">
        <v>40</v>
      </c>
      <c r="J432" s="8" t="s">
        <v>124</v>
      </c>
      <c r="K432" s="8" t="s">
        <v>33</v>
      </c>
      <c r="L432" s="8" t="s">
        <v>34</v>
      </c>
      <c r="M432" s="8" t="s">
        <v>30</v>
      </c>
      <c r="N432" s="26">
        <v>41840</v>
      </c>
      <c r="O432" s="14">
        <v>56.973084628472897</v>
      </c>
      <c r="P432" s="8">
        <v>26.6437202792183</v>
      </c>
      <c r="Q432" s="19">
        <f t="shared" si="35"/>
        <v>1517.9749302852638</v>
      </c>
      <c r="R432" s="20">
        <v>4.9100638339176203E-2</v>
      </c>
      <c r="S432" s="29">
        <f t="shared" si="32"/>
        <v>74.533538059872953</v>
      </c>
      <c r="T432" s="20">
        <f t="shared" si="33"/>
        <v>1443.4413922253909</v>
      </c>
      <c r="U432" s="21">
        <v>7.3388331916795604</v>
      </c>
      <c r="V432" s="31">
        <f t="shared" si="34"/>
        <v>1450.7802254170706</v>
      </c>
    </row>
    <row r="433" spans="1:22" x14ac:dyDescent="0.3">
      <c r="A433" s="6" t="s">
        <v>1103</v>
      </c>
      <c r="B433" s="6">
        <f t="shared" si="31"/>
        <v>3</v>
      </c>
      <c r="C433" s="7">
        <v>41838</v>
      </c>
      <c r="D433" s="8" t="s">
        <v>123</v>
      </c>
      <c r="E433" s="8">
        <v>226380.90254650501</v>
      </c>
      <c r="F433" s="8" t="s">
        <v>66</v>
      </c>
      <c r="G433" s="8" t="s">
        <v>58</v>
      </c>
      <c r="H433" s="8" t="s">
        <v>39</v>
      </c>
      <c r="I433" s="8" t="s">
        <v>40</v>
      </c>
      <c r="J433" s="8" t="s">
        <v>126</v>
      </c>
      <c r="K433" s="8" t="s">
        <v>33</v>
      </c>
      <c r="L433" s="8" t="s">
        <v>34</v>
      </c>
      <c r="M433" s="8" t="s">
        <v>30</v>
      </c>
      <c r="N433" s="26">
        <v>41845</v>
      </c>
      <c r="O433" s="14">
        <v>57.018469447648201</v>
      </c>
      <c r="P433" s="8">
        <v>26.646781631884</v>
      </c>
      <c r="Q433" s="19">
        <f t="shared" si="35"/>
        <v>1519.3587043557311</v>
      </c>
      <c r="R433" s="20">
        <v>4.9084388667481202E-2</v>
      </c>
      <c r="S433" s="29">
        <f t="shared" si="32"/>
        <v>74.576793169917366</v>
      </c>
      <c r="T433" s="20">
        <f t="shared" si="33"/>
        <v>1444.7819111858137</v>
      </c>
      <c r="U433" s="21">
        <v>7.34409411465308</v>
      </c>
      <c r="V433" s="31">
        <f t="shared" si="34"/>
        <v>1452.1260053004667</v>
      </c>
    </row>
    <row r="434" spans="1:22" x14ac:dyDescent="0.3">
      <c r="A434" s="6" t="s">
        <v>1103</v>
      </c>
      <c r="B434" s="6">
        <f t="shared" si="31"/>
        <v>3</v>
      </c>
      <c r="C434" s="7">
        <v>41838</v>
      </c>
      <c r="D434" s="8" t="s">
        <v>123</v>
      </c>
      <c r="E434" s="8">
        <v>226380.90254650501</v>
      </c>
      <c r="F434" s="8" t="s">
        <v>66</v>
      </c>
      <c r="G434" s="8" t="s">
        <v>58</v>
      </c>
      <c r="H434" s="8" t="s">
        <v>39</v>
      </c>
      <c r="I434" s="8" t="s">
        <v>40</v>
      </c>
      <c r="J434" s="8" t="s">
        <v>126</v>
      </c>
      <c r="K434" s="8" t="s">
        <v>33</v>
      </c>
      <c r="L434" s="8" t="s">
        <v>34</v>
      </c>
      <c r="M434" s="8" t="s">
        <v>30</v>
      </c>
      <c r="N434" s="26">
        <v>41845</v>
      </c>
      <c r="O434" s="14">
        <v>57.018469447648201</v>
      </c>
      <c r="P434" s="8">
        <v>26.646781631884</v>
      </c>
      <c r="Q434" s="19">
        <f t="shared" si="35"/>
        <v>1519.3587043557311</v>
      </c>
      <c r="R434" s="20">
        <v>4.9084388667481202E-2</v>
      </c>
      <c r="S434" s="29">
        <f t="shared" si="32"/>
        <v>74.576793169917366</v>
      </c>
      <c r="T434" s="20">
        <f t="shared" si="33"/>
        <v>1444.7819111858137</v>
      </c>
      <c r="U434" s="21">
        <v>7.34409411465308</v>
      </c>
      <c r="V434" s="31">
        <f t="shared" si="34"/>
        <v>1452.1260053004667</v>
      </c>
    </row>
    <row r="435" spans="1:22" x14ac:dyDescent="0.3">
      <c r="A435" s="6" t="s">
        <v>127</v>
      </c>
      <c r="B435" s="6">
        <f t="shared" si="31"/>
        <v>3</v>
      </c>
      <c r="C435" s="7">
        <v>41846</v>
      </c>
      <c r="D435" s="8" t="s">
        <v>128</v>
      </c>
      <c r="E435" s="8">
        <v>11</v>
      </c>
      <c r="F435" s="8" t="s">
        <v>129</v>
      </c>
      <c r="G435" s="8" t="s">
        <v>85</v>
      </c>
      <c r="H435" s="8" t="s">
        <v>130</v>
      </c>
      <c r="I435" s="8" t="s">
        <v>40</v>
      </c>
      <c r="J435" s="8" t="s">
        <v>105</v>
      </c>
      <c r="K435" s="8" t="s">
        <v>28</v>
      </c>
      <c r="L435" s="8" t="s">
        <v>106</v>
      </c>
      <c r="M435" s="8" t="s">
        <v>30</v>
      </c>
      <c r="N435" s="26">
        <v>41855</v>
      </c>
      <c r="O435" s="14">
        <v>599.99</v>
      </c>
      <c r="P435" s="8">
        <v>25</v>
      </c>
      <c r="Q435" s="19">
        <f t="shared" si="35"/>
        <v>14999.75</v>
      </c>
      <c r="R435" s="20">
        <v>7.0000000000000007E-2</v>
      </c>
      <c r="S435" s="29">
        <f t="shared" si="32"/>
        <v>1049.9825000000001</v>
      </c>
      <c r="T435" s="20">
        <f t="shared" si="33"/>
        <v>13949.7675</v>
      </c>
      <c r="U435" s="21">
        <v>24.49</v>
      </c>
      <c r="V435" s="31">
        <f t="shared" si="34"/>
        <v>13974.2575</v>
      </c>
    </row>
    <row r="436" spans="1:22" x14ac:dyDescent="0.3">
      <c r="A436" s="6" t="s">
        <v>131</v>
      </c>
      <c r="B436" s="6">
        <f t="shared" si="31"/>
        <v>3</v>
      </c>
      <c r="C436" s="7">
        <v>41846</v>
      </c>
      <c r="D436" s="8" t="s">
        <v>128</v>
      </c>
      <c r="E436" s="8">
        <v>11</v>
      </c>
      <c r="F436" s="8" t="s">
        <v>129</v>
      </c>
      <c r="G436" s="8" t="s">
        <v>85</v>
      </c>
      <c r="H436" s="8" t="s">
        <v>130</v>
      </c>
      <c r="I436" s="8" t="s">
        <v>40</v>
      </c>
      <c r="J436" s="8" t="s">
        <v>132</v>
      </c>
      <c r="K436" s="8" t="s">
        <v>33</v>
      </c>
      <c r="L436" s="8" t="s">
        <v>34</v>
      </c>
      <c r="M436" s="8" t="s">
        <v>30</v>
      </c>
      <c r="N436" s="26">
        <v>41853</v>
      </c>
      <c r="O436" s="14">
        <v>2.62</v>
      </c>
      <c r="P436" s="8">
        <v>10</v>
      </c>
      <c r="Q436" s="19">
        <f t="shared" si="35"/>
        <v>26.200000000000003</v>
      </c>
      <c r="R436" s="20">
        <v>0.08</v>
      </c>
      <c r="S436" s="29">
        <f t="shared" si="32"/>
        <v>2.0960000000000001</v>
      </c>
      <c r="T436" s="20">
        <f t="shared" si="33"/>
        <v>24.104000000000003</v>
      </c>
      <c r="U436" s="21">
        <v>0.8</v>
      </c>
      <c r="V436" s="31">
        <f t="shared" si="34"/>
        <v>24.904000000000003</v>
      </c>
    </row>
    <row r="437" spans="1:22" x14ac:dyDescent="0.3">
      <c r="A437" s="6" t="s">
        <v>1104</v>
      </c>
      <c r="B437" s="6">
        <f t="shared" si="31"/>
        <v>3</v>
      </c>
      <c r="C437" s="7">
        <v>41846</v>
      </c>
      <c r="D437" s="8" t="s">
        <v>128</v>
      </c>
      <c r="E437" s="8">
        <v>226768.83524911199</v>
      </c>
      <c r="F437" s="8" t="s">
        <v>129</v>
      </c>
      <c r="G437" s="8" t="s">
        <v>85</v>
      </c>
      <c r="H437" s="8" t="s">
        <v>130</v>
      </c>
      <c r="I437" s="8" t="s">
        <v>40</v>
      </c>
      <c r="J437" s="8" t="s">
        <v>105</v>
      </c>
      <c r="K437" s="8" t="s">
        <v>28</v>
      </c>
      <c r="L437" s="8" t="s">
        <v>106</v>
      </c>
      <c r="M437" s="8" t="s">
        <v>30</v>
      </c>
      <c r="N437" s="26">
        <v>41855</v>
      </c>
      <c r="O437" s="14">
        <v>57.063854266823498</v>
      </c>
      <c r="P437" s="8">
        <v>26.6498429845497</v>
      </c>
      <c r="Q437" s="19">
        <f t="shared" si="35"/>
        <v>1520.7427563040726</v>
      </c>
      <c r="R437" s="20">
        <v>4.9068138995786298E-2</v>
      </c>
      <c r="S437" s="29">
        <f t="shared" si="32"/>
        <v>74.620016943163407</v>
      </c>
      <c r="T437" s="20">
        <f t="shared" si="33"/>
        <v>1446.1227393609092</v>
      </c>
      <c r="U437" s="21">
        <v>7.3493550376266104</v>
      </c>
      <c r="V437" s="31">
        <f t="shared" si="34"/>
        <v>1453.4720943985358</v>
      </c>
    </row>
    <row r="438" spans="1:22" x14ac:dyDescent="0.3">
      <c r="A438" s="6" t="s">
        <v>1105</v>
      </c>
      <c r="B438" s="6">
        <f t="shared" si="31"/>
        <v>3</v>
      </c>
      <c r="C438" s="7">
        <v>41846</v>
      </c>
      <c r="D438" s="8" t="s">
        <v>128</v>
      </c>
      <c r="E438" s="8">
        <v>227156.767951719</v>
      </c>
      <c r="F438" s="8" t="s">
        <v>129</v>
      </c>
      <c r="G438" s="8" t="s">
        <v>85</v>
      </c>
      <c r="H438" s="8" t="s">
        <v>130</v>
      </c>
      <c r="I438" s="8" t="s">
        <v>40</v>
      </c>
      <c r="J438" s="8" t="s">
        <v>132</v>
      </c>
      <c r="K438" s="8" t="s">
        <v>33</v>
      </c>
      <c r="L438" s="8" t="s">
        <v>34</v>
      </c>
      <c r="M438" s="8" t="s">
        <v>30</v>
      </c>
      <c r="N438" s="26">
        <v>41853</v>
      </c>
      <c r="O438" s="14">
        <v>57.109239085998801</v>
      </c>
      <c r="P438" s="8">
        <v>26.6529043372154</v>
      </c>
      <c r="Q438" s="19">
        <f t="shared" si="35"/>
        <v>1522.1270861302887</v>
      </c>
      <c r="R438" s="20">
        <v>4.9051889324091297E-2</v>
      </c>
      <c r="S438" s="29">
        <f t="shared" si="32"/>
        <v>74.663209366064507</v>
      </c>
      <c r="T438" s="20">
        <f t="shared" si="33"/>
        <v>1447.4638767642241</v>
      </c>
      <c r="U438" s="21">
        <v>7.35461596060013</v>
      </c>
      <c r="V438" s="31">
        <f t="shared" si="34"/>
        <v>1454.8184927248242</v>
      </c>
    </row>
    <row r="439" spans="1:22" x14ac:dyDescent="0.3">
      <c r="A439" s="6" t="s">
        <v>133</v>
      </c>
      <c r="B439" s="6">
        <f t="shared" si="31"/>
        <v>3</v>
      </c>
      <c r="C439" s="7">
        <v>41879</v>
      </c>
      <c r="D439" s="8" t="s">
        <v>134</v>
      </c>
      <c r="E439" s="8">
        <v>111112</v>
      </c>
      <c r="F439" s="8" t="s">
        <v>135</v>
      </c>
      <c r="G439" s="8" t="s">
        <v>24</v>
      </c>
      <c r="H439" s="8" t="s">
        <v>74</v>
      </c>
      <c r="I439" s="8" t="s">
        <v>136</v>
      </c>
      <c r="J439" s="8" t="s">
        <v>137</v>
      </c>
      <c r="K439" s="8" t="s">
        <v>28</v>
      </c>
      <c r="L439" s="8" t="s">
        <v>138</v>
      </c>
      <c r="M439" s="8" t="s">
        <v>139</v>
      </c>
      <c r="N439" s="26">
        <v>41879</v>
      </c>
      <c r="O439" s="14">
        <v>449.99</v>
      </c>
      <c r="P439" s="8">
        <v>15</v>
      </c>
      <c r="Q439" s="19">
        <f t="shared" si="35"/>
        <v>6749.85</v>
      </c>
      <c r="R439" s="20">
        <v>0.04</v>
      </c>
      <c r="S439" s="29">
        <f t="shared" si="32"/>
        <v>269.99400000000003</v>
      </c>
      <c r="T439" s="20">
        <f t="shared" si="33"/>
        <v>6479.8560000000007</v>
      </c>
      <c r="U439" s="21">
        <v>49</v>
      </c>
      <c r="V439" s="31">
        <f t="shared" si="34"/>
        <v>6528.8560000000007</v>
      </c>
    </row>
    <row r="440" spans="1:22" x14ac:dyDescent="0.3">
      <c r="A440" s="6" t="s">
        <v>140</v>
      </c>
      <c r="B440" s="6">
        <f t="shared" si="31"/>
        <v>3</v>
      </c>
      <c r="C440" s="7">
        <v>41879</v>
      </c>
      <c r="D440" s="8" t="s">
        <v>134</v>
      </c>
      <c r="E440" s="8">
        <v>111112</v>
      </c>
      <c r="F440" s="8" t="s">
        <v>135</v>
      </c>
      <c r="G440" s="8" t="s">
        <v>24</v>
      </c>
      <c r="H440" s="8" t="s">
        <v>74</v>
      </c>
      <c r="I440" s="8" t="s">
        <v>136</v>
      </c>
      <c r="J440" s="8" t="s">
        <v>141</v>
      </c>
      <c r="K440" s="8" t="s">
        <v>33</v>
      </c>
      <c r="L440" s="8" t="s">
        <v>34</v>
      </c>
      <c r="M440" s="8" t="s">
        <v>30</v>
      </c>
      <c r="N440" s="26">
        <v>41880</v>
      </c>
      <c r="O440" s="14">
        <v>4</v>
      </c>
      <c r="P440" s="8">
        <v>14</v>
      </c>
      <c r="Q440" s="19">
        <f t="shared" si="35"/>
        <v>56</v>
      </c>
      <c r="R440" s="20">
        <v>0.06</v>
      </c>
      <c r="S440" s="29">
        <f t="shared" si="32"/>
        <v>3.36</v>
      </c>
      <c r="T440" s="20">
        <f t="shared" si="33"/>
        <v>52.64</v>
      </c>
      <c r="U440" s="21">
        <v>1.3</v>
      </c>
      <c r="V440" s="31">
        <f t="shared" si="34"/>
        <v>53.94</v>
      </c>
    </row>
    <row r="441" spans="1:22" x14ac:dyDescent="0.3">
      <c r="A441" s="6" t="s">
        <v>1106</v>
      </c>
      <c r="B441" s="6">
        <f t="shared" si="31"/>
        <v>3</v>
      </c>
      <c r="C441" s="7">
        <v>41879</v>
      </c>
      <c r="D441" s="8" t="s">
        <v>134</v>
      </c>
      <c r="E441" s="8">
        <v>227544.70065432601</v>
      </c>
      <c r="F441" s="8" t="s">
        <v>135</v>
      </c>
      <c r="G441" s="8" t="s">
        <v>24</v>
      </c>
      <c r="H441" s="8" t="s">
        <v>74</v>
      </c>
      <c r="I441" s="8" t="s">
        <v>136</v>
      </c>
      <c r="J441" s="8" t="s">
        <v>137</v>
      </c>
      <c r="K441" s="8" t="s">
        <v>28</v>
      </c>
      <c r="L441" s="8" t="s">
        <v>138</v>
      </c>
      <c r="M441" s="8" t="s">
        <v>139</v>
      </c>
      <c r="N441" s="26">
        <v>41879</v>
      </c>
      <c r="O441" s="14">
        <v>57.154623905174098</v>
      </c>
      <c r="P441" s="8">
        <v>26.655965689881</v>
      </c>
      <c r="Q441" s="19">
        <f t="shared" si="35"/>
        <v>1523.5116938343731</v>
      </c>
      <c r="R441" s="20">
        <v>4.9035639652396303E-2</v>
      </c>
      <c r="S441" s="29">
        <f t="shared" si="32"/>
        <v>74.70637042507424</v>
      </c>
      <c r="T441" s="20">
        <f t="shared" si="33"/>
        <v>1448.8053234092988</v>
      </c>
      <c r="U441" s="21">
        <v>7.3598768835736497</v>
      </c>
      <c r="V441" s="31">
        <f t="shared" si="34"/>
        <v>1456.1652002928724</v>
      </c>
    </row>
    <row r="442" spans="1:22" x14ac:dyDescent="0.3">
      <c r="A442" s="6" t="s">
        <v>1107</v>
      </c>
      <c r="B442" s="6">
        <f t="shared" si="31"/>
        <v>3</v>
      </c>
      <c r="C442" s="7">
        <v>41879</v>
      </c>
      <c r="D442" s="8" t="s">
        <v>134</v>
      </c>
      <c r="E442" s="8">
        <v>227932.63335693299</v>
      </c>
      <c r="F442" s="8" t="s">
        <v>135</v>
      </c>
      <c r="G442" s="8" t="s">
        <v>24</v>
      </c>
      <c r="H442" s="8" t="s">
        <v>74</v>
      </c>
      <c r="I442" s="8" t="s">
        <v>136</v>
      </c>
      <c r="J442" s="8" t="s">
        <v>141</v>
      </c>
      <c r="K442" s="8" t="s">
        <v>33</v>
      </c>
      <c r="L442" s="8" t="s">
        <v>34</v>
      </c>
      <c r="M442" s="8" t="s">
        <v>30</v>
      </c>
      <c r="N442" s="26">
        <v>41880</v>
      </c>
      <c r="O442" s="14">
        <v>57.200008724349402</v>
      </c>
      <c r="P442" s="8">
        <v>26.6590270425467</v>
      </c>
      <c r="Q442" s="19">
        <f t="shared" si="35"/>
        <v>1524.896579416338</v>
      </c>
      <c r="R442" s="20">
        <v>4.9019389980701399E-2</v>
      </c>
      <c r="S442" s="29">
        <f t="shared" si="32"/>
        <v>74.749500106647076</v>
      </c>
      <c r="T442" s="20">
        <f t="shared" si="33"/>
        <v>1450.147079309691</v>
      </c>
      <c r="U442" s="21">
        <v>7.3651378065471702</v>
      </c>
      <c r="V442" s="31">
        <f t="shared" si="34"/>
        <v>1457.5122171162382</v>
      </c>
    </row>
    <row r="443" spans="1:22" x14ac:dyDescent="0.3">
      <c r="A443" s="6" t="s">
        <v>142</v>
      </c>
      <c r="B443" s="6">
        <f t="shared" si="31"/>
        <v>3</v>
      </c>
      <c r="C443" s="7">
        <v>41889</v>
      </c>
      <c r="D443" s="8" t="s">
        <v>143</v>
      </c>
      <c r="E443" s="8">
        <v>113114</v>
      </c>
      <c r="F443" s="8" t="s">
        <v>144</v>
      </c>
      <c r="G443" s="8" t="s">
        <v>85</v>
      </c>
      <c r="H443" s="8" t="s">
        <v>59</v>
      </c>
      <c r="I443" s="8" t="s">
        <v>49</v>
      </c>
      <c r="J443" s="8" t="s">
        <v>145</v>
      </c>
      <c r="K443" s="8" t="s">
        <v>33</v>
      </c>
      <c r="L443" s="8" t="s">
        <v>54</v>
      </c>
      <c r="M443" s="8" t="s">
        <v>30</v>
      </c>
      <c r="N443" s="26">
        <v>41889</v>
      </c>
      <c r="O443" s="14">
        <v>1.88</v>
      </c>
      <c r="P443" s="8">
        <v>47</v>
      </c>
      <c r="Q443" s="19">
        <f t="shared" si="35"/>
        <v>88.36</v>
      </c>
      <c r="R443" s="20">
        <v>0.06</v>
      </c>
      <c r="S443" s="29">
        <f t="shared" si="32"/>
        <v>5.3015999999999996</v>
      </c>
      <c r="T443" s="20">
        <f t="shared" si="33"/>
        <v>83.058400000000006</v>
      </c>
      <c r="U443" s="21">
        <v>1.49</v>
      </c>
      <c r="V443" s="31">
        <f t="shared" si="34"/>
        <v>84.548400000000001</v>
      </c>
    </row>
    <row r="444" spans="1:22" x14ac:dyDescent="0.3">
      <c r="A444" s="6" t="s">
        <v>146</v>
      </c>
      <c r="B444" s="6">
        <f t="shared" si="31"/>
        <v>3</v>
      </c>
      <c r="C444" s="7">
        <v>41889</v>
      </c>
      <c r="D444" s="8" t="s">
        <v>143</v>
      </c>
      <c r="E444" s="8">
        <v>113114</v>
      </c>
      <c r="F444" s="8" t="s">
        <v>144</v>
      </c>
      <c r="G444" s="8" t="s">
        <v>85</v>
      </c>
      <c r="H444" s="8" t="s">
        <v>59</v>
      </c>
      <c r="I444" s="8" t="s">
        <v>49</v>
      </c>
      <c r="J444" s="8" t="s">
        <v>63</v>
      </c>
      <c r="K444" s="8" t="s">
        <v>33</v>
      </c>
      <c r="L444" s="8" t="s">
        <v>34</v>
      </c>
      <c r="M444" s="8" t="s">
        <v>30</v>
      </c>
      <c r="N444" s="26">
        <v>41891</v>
      </c>
      <c r="O444" s="14">
        <v>2.84</v>
      </c>
      <c r="P444" s="8">
        <v>39</v>
      </c>
      <c r="Q444" s="19">
        <f t="shared" si="35"/>
        <v>110.75999999999999</v>
      </c>
      <c r="R444" s="20">
        <v>0.08</v>
      </c>
      <c r="S444" s="29">
        <f t="shared" si="32"/>
        <v>8.8607999999999993</v>
      </c>
      <c r="T444" s="20">
        <f t="shared" si="33"/>
        <v>101.89919999999999</v>
      </c>
      <c r="U444" s="21">
        <v>0.93</v>
      </c>
      <c r="V444" s="31">
        <f t="shared" si="34"/>
        <v>102.8292</v>
      </c>
    </row>
    <row r="445" spans="1:22" x14ac:dyDescent="0.3">
      <c r="A445" s="6" t="s">
        <v>1108</v>
      </c>
      <c r="B445" s="6">
        <f t="shared" si="31"/>
        <v>3</v>
      </c>
      <c r="C445" s="7">
        <v>41889</v>
      </c>
      <c r="D445" s="8" t="s">
        <v>143</v>
      </c>
      <c r="E445" s="8">
        <v>228320.56605954</v>
      </c>
      <c r="F445" s="8" t="s">
        <v>144</v>
      </c>
      <c r="G445" s="8" t="s">
        <v>85</v>
      </c>
      <c r="H445" s="8" t="s">
        <v>59</v>
      </c>
      <c r="I445" s="8" t="s">
        <v>49</v>
      </c>
      <c r="J445" s="8" t="s">
        <v>145</v>
      </c>
      <c r="K445" s="8" t="s">
        <v>33</v>
      </c>
      <c r="L445" s="8" t="s">
        <v>54</v>
      </c>
      <c r="M445" s="8" t="s">
        <v>30</v>
      </c>
      <c r="N445" s="26">
        <v>41889</v>
      </c>
      <c r="O445" s="14">
        <v>57.245393543524699</v>
      </c>
      <c r="P445" s="8">
        <v>26.6620883952124</v>
      </c>
      <c r="Q445" s="19">
        <f t="shared" si="35"/>
        <v>1526.2817428761768</v>
      </c>
      <c r="R445" s="20">
        <v>4.9003140309006397E-2</v>
      </c>
      <c r="S445" s="29">
        <f t="shared" si="32"/>
        <v>74.792598397236119</v>
      </c>
      <c r="T445" s="20">
        <f t="shared" si="33"/>
        <v>1451.4891444789407</v>
      </c>
      <c r="U445" s="21">
        <v>7.3703987295206899</v>
      </c>
      <c r="V445" s="31">
        <f t="shared" si="34"/>
        <v>1458.8595432084614</v>
      </c>
    </row>
    <row r="446" spans="1:22" x14ac:dyDescent="0.3">
      <c r="A446" s="6" t="s">
        <v>1109</v>
      </c>
      <c r="B446" s="6">
        <f t="shared" si="31"/>
        <v>3</v>
      </c>
      <c r="C446" s="7">
        <v>41889</v>
      </c>
      <c r="D446" s="8" t="s">
        <v>143</v>
      </c>
      <c r="E446" s="8">
        <v>228708.49876214701</v>
      </c>
      <c r="F446" s="8" t="s">
        <v>144</v>
      </c>
      <c r="G446" s="8" t="s">
        <v>85</v>
      </c>
      <c r="H446" s="8" t="s">
        <v>59</v>
      </c>
      <c r="I446" s="8" t="s">
        <v>49</v>
      </c>
      <c r="J446" s="8" t="s">
        <v>63</v>
      </c>
      <c r="K446" s="8" t="s">
        <v>33</v>
      </c>
      <c r="L446" s="8" t="s">
        <v>34</v>
      </c>
      <c r="M446" s="8" t="s">
        <v>30</v>
      </c>
      <c r="N446" s="26">
        <v>41891</v>
      </c>
      <c r="O446" s="14">
        <v>57.290778362700003</v>
      </c>
      <c r="P446" s="8">
        <v>26.665149747878001</v>
      </c>
      <c r="Q446" s="19">
        <f t="shared" si="35"/>
        <v>1527.6671842138844</v>
      </c>
      <c r="R446" s="20">
        <v>4.8986890637311403E-2</v>
      </c>
      <c r="S446" s="29">
        <f t="shared" si="32"/>
        <v>74.835665283295015</v>
      </c>
      <c r="T446" s="20">
        <f t="shared" si="33"/>
        <v>1452.8315189305895</v>
      </c>
      <c r="U446" s="21">
        <v>7.3756596524942104</v>
      </c>
      <c r="V446" s="31">
        <f t="shared" si="34"/>
        <v>1460.2071785830838</v>
      </c>
    </row>
    <row r="447" spans="1:22" x14ac:dyDescent="0.3">
      <c r="A447" s="6" t="s">
        <v>147</v>
      </c>
      <c r="B447" s="6">
        <f t="shared" si="31"/>
        <v>3</v>
      </c>
      <c r="C447" s="7">
        <v>41903</v>
      </c>
      <c r="D447" s="8" t="s">
        <v>148</v>
      </c>
      <c r="E447" s="8">
        <v>115116</v>
      </c>
      <c r="F447" s="8" t="s">
        <v>149</v>
      </c>
      <c r="G447" s="8" t="s">
        <v>58</v>
      </c>
      <c r="H447" s="8" t="s">
        <v>48</v>
      </c>
      <c r="I447" s="8" t="s">
        <v>26</v>
      </c>
      <c r="J447" s="8" t="s">
        <v>150</v>
      </c>
      <c r="K447" s="8" t="s">
        <v>28</v>
      </c>
      <c r="L447" s="8" t="s">
        <v>54</v>
      </c>
      <c r="M447" s="8" t="s">
        <v>30</v>
      </c>
      <c r="N447" s="26">
        <v>41905</v>
      </c>
      <c r="O447" s="14">
        <v>45.99</v>
      </c>
      <c r="P447" s="8">
        <v>23</v>
      </c>
      <c r="Q447" s="19">
        <f t="shared" si="35"/>
        <v>1057.77</v>
      </c>
      <c r="R447" s="20">
        <v>0.1</v>
      </c>
      <c r="S447" s="29">
        <f t="shared" si="32"/>
        <v>105.777</v>
      </c>
      <c r="T447" s="20">
        <f t="shared" si="33"/>
        <v>951.99299999999994</v>
      </c>
      <c r="U447" s="21">
        <v>4.99</v>
      </c>
      <c r="V447" s="31">
        <f t="shared" si="34"/>
        <v>956.98299999999995</v>
      </c>
    </row>
    <row r="448" spans="1:22" x14ac:dyDescent="0.3">
      <c r="A448" s="6" t="s">
        <v>151</v>
      </c>
      <c r="B448" s="6">
        <f t="shared" si="31"/>
        <v>3</v>
      </c>
      <c r="C448" s="7">
        <v>41903</v>
      </c>
      <c r="D448" s="8" t="s">
        <v>148</v>
      </c>
      <c r="E448" s="8">
        <v>115116</v>
      </c>
      <c r="F448" s="8" t="s">
        <v>149</v>
      </c>
      <c r="G448" s="8" t="s">
        <v>58</v>
      </c>
      <c r="H448" s="8" t="s">
        <v>48</v>
      </c>
      <c r="I448" s="8" t="s">
        <v>26</v>
      </c>
      <c r="J448" s="8" t="s">
        <v>152</v>
      </c>
      <c r="K448" s="8" t="s">
        <v>33</v>
      </c>
      <c r="L448" s="8" t="s">
        <v>34</v>
      </c>
      <c r="M448" s="8" t="s">
        <v>30</v>
      </c>
      <c r="N448" s="26">
        <v>41904</v>
      </c>
      <c r="O448" s="14">
        <v>1.48</v>
      </c>
      <c r="P448" s="8">
        <v>33</v>
      </c>
      <c r="Q448" s="19">
        <f t="shared" si="35"/>
        <v>48.839999999999996</v>
      </c>
      <c r="R448" s="20">
        <v>0.06</v>
      </c>
      <c r="S448" s="29">
        <f t="shared" si="32"/>
        <v>2.9303999999999997</v>
      </c>
      <c r="T448" s="20">
        <f t="shared" si="33"/>
        <v>45.909599999999998</v>
      </c>
      <c r="U448" s="21">
        <v>0.7</v>
      </c>
      <c r="V448" s="31">
        <f t="shared" si="34"/>
        <v>46.6096</v>
      </c>
    </row>
    <row r="449" spans="1:22" x14ac:dyDescent="0.3">
      <c r="A449" s="6" t="s">
        <v>1110</v>
      </c>
      <c r="B449" s="6">
        <f t="shared" si="31"/>
        <v>3</v>
      </c>
      <c r="C449" s="7">
        <v>41903</v>
      </c>
      <c r="D449" s="8" t="s">
        <v>148</v>
      </c>
      <c r="E449" s="8">
        <v>229096.43146475399</v>
      </c>
      <c r="F449" s="8" t="s">
        <v>149</v>
      </c>
      <c r="G449" s="8" t="s">
        <v>58</v>
      </c>
      <c r="H449" s="8" t="s">
        <v>48</v>
      </c>
      <c r="I449" s="8" t="s">
        <v>26</v>
      </c>
      <c r="J449" s="8" t="s">
        <v>1111</v>
      </c>
      <c r="K449" s="8" t="s">
        <v>28</v>
      </c>
      <c r="L449" s="8" t="s">
        <v>54</v>
      </c>
      <c r="M449" s="8" t="s">
        <v>30</v>
      </c>
      <c r="N449" s="26">
        <v>41905</v>
      </c>
      <c r="O449" s="14">
        <v>57.3361631818753</v>
      </c>
      <c r="P449" s="8">
        <v>26.668211100543701</v>
      </c>
      <c r="Q449" s="19">
        <f t="shared" si="35"/>
        <v>1529.0529034294718</v>
      </c>
      <c r="R449" s="20">
        <v>4.8970640965616499E-2</v>
      </c>
      <c r="S449" s="29">
        <f t="shared" si="32"/>
        <v>74.878700751278146</v>
      </c>
      <c r="T449" s="20">
        <f t="shared" si="33"/>
        <v>1454.1742026781938</v>
      </c>
      <c r="U449" s="21">
        <v>7.3809205754677398</v>
      </c>
      <c r="V449" s="31">
        <f t="shared" si="34"/>
        <v>1461.5551232536616</v>
      </c>
    </row>
    <row r="450" spans="1:22" x14ac:dyDescent="0.3">
      <c r="A450" s="6" t="s">
        <v>1112</v>
      </c>
      <c r="B450" s="6">
        <f t="shared" si="31"/>
        <v>3</v>
      </c>
      <c r="C450" s="7">
        <v>41903</v>
      </c>
      <c r="D450" s="8" t="s">
        <v>148</v>
      </c>
      <c r="E450" s="8">
        <v>229484.364167361</v>
      </c>
      <c r="F450" s="8" t="s">
        <v>149</v>
      </c>
      <c r="G450" s="8" t="s">
        <v>58</v>
      </c>
      <c r="H450" s="8" t="s">
        <v>48</v>
      </c>
      <c r="I450" s="8" t="s">
        <v>26</v>
      </c>
      <c r="J450" s="8" t="s">
        <v>152</v>
      </c>
      <c r="K450" s="8" t="s">
        <v>33</v>
      </c>
      <c r="L450" s="8" t="s">
        <v>34</v>
      </c>
      <c r="M450" s="8" t="s">
        <v>30</v>
      </c>
      <c r="N450" s="26">
        <v>41904</v>
      </c>
      <c r="O450" s="14">
        <v>57.381548001050596</v>
      </c>
      <c r="P450" s="8">
        <v>26.671272453209401</v>
      </c>
      <c r="Q450" s="19">
        <f t="shared" si="35"/>
        <v>1530.4389005229336</v>
      </c>
      <c r="R450" s="20">
        <v>4.8954391293921498E-2</v>
      </c>
      <c r="S450" s="29">
        <f t="shared" si="32"/>
        <v>74.921704787638689</v>
      </c>
      <c r="T450" s="20">
        <f t="shared" si="33"/>
        <v>1455.517195735295</v>
      </c>
      <c r="U450" s="21">
        <v>7.3861814984412604</v>
      </c>
      <c r="V450" s="31">
        <f t="shared" si="34"/>
        <v>1462.9033772337361</v>
      </c>
    </row>
    <row r="451" spans="1:22" x14ac:dyDescent="0.3">
      <c r="A451" s="6" t="s">
        <v>153</v>
      </c>
      <c r="B451" s="6">
        <f t="shared" ref="B451:B514" si="36">INT((MONTH(C451) +2)/3)</f>
        <v>4</v>
      </c>
      <c r="C451" s="7">
        <v>41929</v>
      </c>
      <c r="D451" s="8" t="s">
        <v>154</v>
      </c>
      <c r="E451" s="8">
        <v>117118</v>
      </c>
      <c r="F451" s="8" t="s">
        <v>155</v>
      </c>
      <c r="G451" s="8" t="s">
        <v>85</v>
      </c>
      <c r="H451" s="8" t="s">
        <v>48</v>
      </c>
      <c r="I451" s="8" t="s">
        <v>26</v>
      </c>
      <c r="J451" s="8" t="s">
        <v>156</v>
      </c>
      <c r="K451" s="8" t="s">
        <v>33</v>
      </c>
      <c r="L451" s="8" t="s">
        <v>29</v>
      </c>
      <c r="M451" s="8" t="s">
        <v>30</v>
      </c>
      <c r="N451" s="26">
        <v>41929</v>
      </c>
      <c r="O451" s="14">
        <v>12.98</v>
      </c>
      <c r="P451" s="8">
        <v>11</v>
      </c>
      <c r="Q451" s="19">
        <f t="shared" si="35"/>
        <v>142.78</v>
      </c>
      <c r="R451" s="20">
        <v>0.08</v>
      </c>
      <c r="S451" s="29">
        <f t="shared" ref="S451:S514" si="37">PRODUCT(Q451,R451)</f>
        <v>11.4224</v>
      </c>
      <c r="T451" s="20">
        <f t="shared" ref="T451:T514" si="38">SUM(Q451,-S451)</f>
        <v>131.35759999999999</v>
      </c>
      <c r="U451" s="21">
        <v>3.14</v>
      </c>
      <c r="V451" s="31">
        <f t="shared" ref="V451:V514" si="39">SUM(T451,U451)</f>
        <v>134.49759999999998</v>
      </c>
    </row>
    <row r="452" spans="1:22" x14ac:dyDescent="0.3">
      <c r="A452" s="6" t="s">
        <v>157</v>
      </c>
      <c r="B452" s="6">
        <f t="shared" si="36"/>
        <v>4</v>
      </c>
      <c r="C452" s="7">
        <v>41929</v>
      </c>
      <c r="D452" s="8" t="s">
        <v>154</v>
      </c>
      <c r="E452" s="8">
        <v>117118</v>
      </c>
      <c r="F452" s="8" t="s">
        <v>155</v>
      </c>
      <c r="G452" s="8" t="s">
        <v>85</v>
      </c>
      <c r="H452" s="8" t="s">
        <v>48</v>
      </c>
      <c r="I452" s="8" t="s">
        <v>26</v>
      </c>
      <c r="J452" s="8" t="s">
        <v>141</v>
      </c>
      <c r="K452" s="8" t="s">
        <v>33</v>
      </c>
      <c r="L452" s="8" t="s">
        <v>34</v>
      </c>
      <c r="M452" s="8" t="s">
        <v>30</v>
      </c>
      <c r="N452" s="26">
        <v>41931</v>
      </c>
      <c r="O452" s="14">
        <v>4</v>
      </c>
      <c r="P452" s="8">
        <v>19</v>
      </c>
      <c r="Q452" s="19">
        <f t="shared" si="35"/>
        <v>76</v>
      </c>
      <c r="R452" s="20">
        <v>0.01</v>
      </c>
      <c r="S452" s="29">
        <f t="shared" si="37"/>
        <v>0.76</v>
      </c>
      <c r="T452" s="20">
        <f t="shared" si="38"/>
        <v>75.239999999999995</v>
      </c>
      <c r="U452" s="21">
        <v>1.3</v>
      </c>
      <c r="V452" s="31">
        <f t="shared" si="39"/>
        <v>76.539999999999992</v>
      </c>
    </row>
    <row r="453" spans="1:22" x14ac:dyDescent="0.3">
      <c r="A453" s="6" t="s">
        <v>1113</v>
      </c>
      <c r="B453" s="6">
        <f t="shared" si="36"/>
        <v>4</v>
      </c>
      <c r="C453" s="7">
        <v>41929</v>
      </c>
      <c r="D453" s="8" t="s">
        <v>154</v>
      </c>
      <c r="E453" s="8">
        <v>229872.29686996801</v>
      </c>
      <c r="F453" s="8" t="s">
        <v>155</v>
      </c>
      <c r="G453" s="8" t="s">
        <v>85</v>
      </c>
      <c r="H453" s="8" t="s">
        <v>48</v>
      </c>
      <c r="I453" s="8" t="s">
        <v>26</v>
      </c>
      <c r="J453" s="8" t="s">
        <v>156</v>
      </c>
      <c r="K453" s="8" t="s">
        <v>33</v>
      </c>
      <c r="L453" s="8" t="s">
        <v>29</v>
      </c>
      <c r="M453" s="8" t="s">
        <v>30</v>
      </c>
      <c r="N453" s="26">
        <v>41929</v>
      </c>
      <c r="O453" s="14">
        <v>57.4269328202259</v>
      </c>
      <c r="P453" s="8">
        <v>26.674333805875101</v>
      </c>
      <c r="Q453" s="19">
        <f t="shared" si="35"/>
        <v>1531.8251754942701</v>
      </c>
      <c r="R453" s="20">
        <v>4.8938141622226497E-2</v>
      </c>
      <c r="S453" s="29">
        <f t="shared" si="37"/>
        <v>74.964677378830544</v>
      </c>
      <c r="T453" s="20">
        <f t="shared" si="38"/>
        <v>1456.8604981154394</v>
      </c>
      <c r="U453" s="21">
        <v>7.39144242141478</v>
      </c>
      <c r="V453" s="31">
        <f t="shared" si="39"/>
        <v>1464.2519405368541</v>
      </c>
    </row>
    <row r="454" spans="1:22" x14ac:dyDescent="0.3">
      <c r="A454" s="6" t="s">
        <v>1114</v>
      </c>
      <c r="B454" s="6">
        <f t="shared" si="36"/>
        <v>4</v>
      </c>
      <c r="C454" s="7">
        <v>41929</v>
      </c>
      <c r="D454" s="8" t="s">
        <v>154</v>
      </c>
      <c r="E454" s="8">
        <v>230260.22957257601</v>
      </c>
      <c r="F454" s="8" t="s">
        <v>155</v>
      </c>
      <c r="G454" s="8" t="s">
        <v>85</v>
      </c>
      <c r="H454" s="8" t="s">
        <v>48</v>
      </c>
      <c r="I454" s="8" t="s">
        <v>26</v>
      </c>
      <c r="J454" s="8" t="s">
        <v>141</v>
      </c>
      <c r="K454" s="8" t="s">
        <v>33</v>
      </c>
      <c r="L454" s="8" t="s">
        <v>34</v>
      </c>
      <c r="M454" s="8" t="s">
        <v>30</v>
      </c>
      <c r="N454" s="26">
        <v>41931</v>
      </c>
      <c r="O454" s="14">
        <v>57.472317639401197</v>
      </c>
      <c r="P454" s="8">
        <v>26.677395158540701</v>
      </c>
      <c r="Q454" s="19">
        <f t="shared" si="35"/>
        <v>1533.2117283434748</v>
      </c>
      <c r="R454" s="20">
        <v>4.89218919505316E-2</v>
      </c>
      <c r="S454" s="29">
        <f t="shared" si="37"/>
        <v>75.007618511307285</v>
      </c>
      <c r="T454" s="20">
        <f t="shared" si="38"/>
        <v>1458.2041098321674</v>
      </c>
      <c r="U454" s="21">
        <v>7.3967033443882997</v>
      </c>
      <c r="V454" s="31">
        <f t="shared" si="39"/>
        <v>1465.6008131765557</v>
      </c>
    </row>
    <row r="455" spans="1:22" x14ac:dyDescent="0.3">
      <c r="A455" s="6" t="s">
        <v>158</v>
      </c>
      <c r="B455" s="6">
        <f t="shared" si="36"/>
        <v>4</v>
      </c>
      <c r="C455" s="7">
        <v>42000</v>
      </c>
      <c r="D455" s="8" t="s">
        <v>159</v>
      </c>
      <c r="E455" s="8">
        <v>119120</v>
      </c>
      <c r="F455" s="8" t="s">
        <v>160</v>
      </c>
      <c r="G455" s="8" t="s">
        <v>38</v>
      </c>
      <c r="H455" s="8" t="s">
        <v>92</v>
      </c>
      <c r="I455" s="8" t="s">
        <v>136</v>
      </c>
      <c r="J455" s="8" t="s">
        <v>161</v>
      </c>
      <c r="K455" s="8" t="s">
        <v>33</v>
      </c>
      <c r="L455" s="8" t="s">
        <v>54</v>
      </c>
      <c r="M455" s="8" t="s">
        <v>30</v>
      </c>
      <c r="N455" s="26">
        <v>42000</v>
      </c>
      <c r="O455" s="14">
        <v>34.76</v>
      </c>
      <c r="P455" s="8">
        <v>10</v>
      </c>
      <c r="Q455" s="19">
        <f t="shared" si="35"/>
        <v>347.59999999999997</v>
      </c>
      <c r="R455" s="20">
        <v>0.03</v>
      </c>
      <c r="S455" s="29">
        <f t="shared" si="37"/>
        <v>10.427999999999999</v>
      </c>
      <c r="T455" s="20">
        <f t="shared" si="38"/>
        <v>337.17199999999997</v>
      </c>
      <c r="U455" s="21">
        <v>8.2200000000000006</v>
      </c>
      <c r="V455" s="31">
        <f t="shared" si="39"/>
        <v>345.392</v>
      </c>
    </row>
    <row r="456" spans="1:22" x14ac:dyDescent="0.3">
      <c r="A456" s="6" t="s">
        <v>162</v>
      </c>
      <c r="B456" s="6">
        <f t="shared" si="36"/>
        <v>4</v>
      </c>
      <c r="C456" s="7">
        <v>42000</v>
      </c>
      <c r="D456" s="8" t="s">
        <v>159</v>
      </c>
      <c r="E456" s="8">
        <v>119120</v>
      </c>
      <c r="F456" s="8" t="s">
        <v>160</v>
      </c>
      <c r="G456" s="8" t="s">
        <v>38</v>
      </c>
      <c r="H456" s="8" t="s">
        <v>92</v>
      </c>
      <c r="I456" s="8" t="s">
        <v>136</v>
      </c>
      <c r="J456" s="8" t="s">
        <v>163</v>
      </c>
      <c r="K456" s="8" t="s">
        <v>33</v>
      </c>
      <c r="L456" s="8" t="s">
        <v>34</v>
      </c>
      <c r="M456" s="8" t="s">
        <v>30</v>
      </c>
      <c r="N456" s="26">
        <v>42002</v>
      </c>
      <c r="O456" s="14">
        <v>3.78</v>
      </c>
      <c r="P456" s="8">
        <v>41</v>
      </c>
      <c r="Q456" s="19">
        <f t="shared" si="35"/>
        <v>154.97999999999999</v>
      </c>
      <c r="R456" s="20">
        <v>0.02</v>
      </c>
      <c r="S456" s="29">
        <f t="shared" si="37"/>
        <v>3.0995999999999997</v>
      </c>
      <c r="T456" s="20">
        <f t="shared" si="38"/>
        <v>151.88039999999998</v>
      </c>
      <c r="U456" s="21">
        <v>0.71</v>
      </c>
      <c r="V456" s="31">
        <f t="shared" si="39"/>
        <v>152.59039999999999</v>
      </c>
    </row>
    <row r="457" spans="1:22" x14ac:dyDescent="0.3">
      <c r="A457" s="6" t="s">
        <v>1115</v>
      </c>
      <c r="B457" s="6">
        <f t="shared" si="36"/>
        <v>4</v>
      </c>
      <c r="C457" s="7">
        <v>42000</v>
      </c>
      <c r="D457" s="8" t="s">
        <v>159</v>
      </c>
      <c r="E457" s="8">
        <v>230648.16227518299</v>
      </c>
      <c r="F457" s="8" t="s">
        <v>160</v>
      </c>
      <c r="G457" s="8" t="s">
        <v>38</v>
      </c>
      <c r="H457" s="8" t="s">
        <v>92</v>
      </c>
      <c r="I457" s="8" t="s">
        <v>136</v>
      </c>
      <c r="J457" s="8" t="s">
        <v>161</v>
      </c>
      <c r="K457" s="8" t="s">
        <v>33</v>
      </c>
      <c r="L457" s="8" t="s">
        <v>54</v>
      </c>
      <c r="M457" s="8" t="s">
        <v>30</v>
      </c>
      <c r="N457" s="26">
        <v>42000</v>
      </c>
      <c r="O457" s="14">
        <v>57.517702458576501</v>
      </c>
      <c r="P457" s="8">
        <v>26.680456511206401</v>
      </c>
      <c r="Q457" s="19">
        <f t="shared" si="35"/>
        <v>1534.5985590705598</v>
      </c>
      <c r="R457" s="20">
        <v>4.8905642278836599E-2</v>
      </c>
      <c r="S457" s="29">
        <f t="shared" si="37"/>
        <v>75.050528171522885</v>
      </c>
      <c r="T457" s="20">
        <f t="shared" si="38"/>
        <v>1459.5480308990368</v>
      </c>
      <c r="U457" s="21">
        <v>7.4019642673618202</v>
      </c>
      <c r="V457" s="31">
        <f t="shared" si="39"/>
        <v>1466.9499951663986</v>
      </c>
    </row>
    <row r="458" spans="1:22" x14ac:dyDescent="0.3">
      <c r="A458" s="6" t="s">
        <v>1116</v>
      </c>
      <c r="B458" s="6">
        <f t="shared" si="36"/>
        <v>4</v>
      </c>
      <c r="C458" s="7">
        <v>42000</v>
      </c>
      <c r="D458" s="8" t="s">
        <v>159</v>
      </c>
      <c r="E458" s="8">
        <v>231036.09497779</v>
      </c>
      <c r="F458" s="8" t="s">
        <v>160</v>
      </c>
      <c r="G458" s="8" t="s">
        <v>38</v>
      </c>
      <c r="H458" s="8" t="s">
        <v>92</v>
      </c>
      <c r="I458" s="8" t="s">
        <v>136</v>
      </c>
      <c r="J458" s="8" t="s">
        <v>163</v>
      </c>
      <c r="K458" s="8" t="s">
        <v>33</v>
      </c>
      <c r="L458" s="8" t="s">
        <v>34</v>
      </c>
      <c r="M458" s="8" t="s">
        <v>30</v>
      </c>
      <c r="N458" s="26">
        <v>42002</v>
      </c>
      <c r="O458" s="14">
        <v>57.563087277751798</v>
      </c>
      <c r="P458" s="8">
        <v>26.683517863872101</v>
      </c>
      <c r="Q458" s="19">
        <f t="shared" si="35"/>
        <v>1535.9856676755189</v>
      </c>
      <c r="R458" s="20">
        <v>4.8889392607141598E-2</v>
      </c>
      <c r="S458" s="29">
        <f t="shared" si="37"/>
        <v>75.093406345930973</v>
      </c>
      <c r="T458" s="20">
        <f t="shared" si="38"/>
        <v>1460.8922613295879</v>
      </c>
      <c r="U458" s="21">
        <v>7.4072251903353497</v>
      </c>
      <c r="V458" s="31">
        <f t="shared" si="39"/>
        <v>1468.2994865199232</v>
      </c>
    </row>
    <row r="459" spans="1:22" x14ac:dyDescent="0.3">
      <c r="A459" s="6" t="s">
        <v>164</v>
      </c>
      <c r="B459" s="6">
        <f t="shared" si="36"/>
        <v>1</v>
      </c>
      <c r="C459" s="7">
        <v>42024</v>
      </c>
      <c r="D459" s="8" t="s">
        <v>90</v>
      </c>
      <c r="E459" s="8">
        <v>103104</v>
      </c>
      <c r="F459" s="8" t="s">
        <v>91</v>
      </c>
      <c r="G459" s="8" t="s">
        <v>58</v>
      </c>
      <c r="H459" s="8" t="s">
        <v>92</v>
      </c>
      <c r="I459" s="8" t="s">
        <v>49</v>
      </c>
      <c r="J459" s="8" t="s">
        <v>165</v>
      </c>
      <c r="K459" s="8" t="s">
        <v>33</v>
      </c>
      <c r="L459" s="8" t="s">
        <v>34</v>
      </c>
      <c r="M459" s="8" t="s">
        <v>30</v>
      </c>
      <c r="N459" s="26">
        <v>42025</v>
      </c>
      <c r="O459" s="14">
        <v>8.14</v>
      </c>
      <c r="P459" s="8">
        <v>23</v>
      </c>
      <c r="Q459" s="19">
        <f t="shared" si="35"/>
        <v>187.22000000000003</v>
      </c>
      <c r="R459" s="20">
        <v>7.0000000000000007E-2</v>
      </c>
      <c r="S459" s="29">
        <f t="shared" si="37"/>
        <v>13.105400000000003</v>
      </c>
      <c r="T459" s="20">
        <f t="shared" si="38"/>
        <v>174.11460000000002</v>
      </c>
      <c r="U459" s="21">
        <v>3.12</v>
      </c>
      <c r="V459" s="31">
        <f t="shared" si="39"/>
        <v>177.23460000000003</v>
      </c>
    </row>
    <row r="460" spans="1:22" x14ac:dyDescent="0.3">
      <c r="A460" s="6" t="s">
        <v>166</v>
      </c>
      <c r="B460" s="6">
        <f t="shared" si="36"/>
        <v>1</v>
      </c>
      <c r="C460" s="7">
        <v>42024</v>
      </c>
      <c r="D460" s="8" t="s">
        <v>90</v>
      </c>
      <c r="E460" s="8">
        <v>103104</v>
      </c>
      <c r="F460" s="8" t="s">
        <v>91</v>
      </c>
      <c r="G460" s="8" t="s">
        <v>58</v>
      </c>
      <c r="H460" s="8" t="s">
        <v>92</v>
      </c>
      <c r="I460" s="8" t="s">
        <v>49</v>
      </c>
      <c r="J460" s="8" t="s">
        <v>145</v>
      </c>
      <c r="K460" s="8" t="s">
        <v>33</v>
      </c>
      <c r="L460" s="8" t="s">
        <v>54</v>
      </c>
      <c r="M460" s="8" t="s">
        <v>30</v>
      </c>
      <c r="N460" s="26">
        <v>42025</v>
      </c>
      <c r="O460" s="14">
        <v>1.88</v>
      </c>
      <c r="P460" s="8">
        <v>33</v>
      </c>
      <c r="Q460" s="19">
        <f t="shared" si="35"/>
        <v>62.04</v>
      </c>
      <c r="R460" s="20">
        <v>0.05</v>
      </c>
      <c r="S460" s="29">
        <f t="shared" si="37"/>
        <v>3.1020000000000003</v>
      </c>
      <c r="T460" s="20">
        <f t="shared" si="38"/>
        <v>58.938000000000002</v>
      </c>
      <c r="U460" s="21">
        <v>1.49</v>
      </c>
      <c r="V460" s="31">
        <f t="shared" si="39"/>
        <v>60.428000000000004</v>
      </c>
    </row>
    <row r="461" spans="1:22" x14ac:dyDescent="0.3">
      <c r="A461" s="6" t="s">
        <v>1117</v>
      </c>
      <c r="B461" s="6">
        <f t="shared" si="36"/>
        <v>1</v>
      </c>
      <c r="C461" s="7">
        <v>42024</v>
      </c>
      <c r="D461" s="8" t="s">
        <v>90</v>
      </c>
      <c r="E461" s="8">
        <v>231424.027680397</v>
      </c>
      <c r="F461" s="8" t="s">
        <v>91</v>
      </c>
      <c r="G461" s="8" t="s">
        <v>58</v>
      </c>
      <c r="H461" s="8" t="s">
        <v>92</v>
      </c>
      <c r="I461" s="8" t="s">
        <v>49</v>
      </c>
      <c r="J461" s="8" t="s">
        <v>165</v>
      </c>
      <c r="K461" s="8" t="s">
        <v>33</v>
      </c>
      <c r="L461" s="8" t="s">
        <v>34</v>
      </c>
      <c r="M461" s="8" t="s">
        <v>30</v>
      </c>
      <c r="N461" s="26">
        <v>42025</v>
      </c>
      <c r="O461" s="14">
        <v>57.608472096927102</v>
      </c>
      <c r="P461" s="8">
        <v>26.686579216537801</v>
      </c>
      <c r="Q461" s="19">
        <f t="shared" si="35"/>
        <v>1537.3730541583527</v>
      </c>
      <c r="R461" s="20">
        <v>4.8873142935446701E-2</v>
      </c>
      <c r="S461" s="29">
        <f t="shared" si="37"/>
        <v>75.136253020985407</v>
      </c>
      <c r="T461" s="20">
        <f t="shared" si="38"/>
        <v>1462.2368011373674</v>
      </c>
      <c r="U461" s="21">
        <v>7.4124861133088702</v>
      </c>
      <c r="V461" s="31">
        <f t="shared" si="39"/>
        <v>1469.6492872506763</v>
      </c>
    </row>
    <row r="462" spans="1:22" x14ac:dyDescent="0.3">
      <c r="A462" s="6" t="s">
        <v>1118</v>
      </c>
      <c r="B462" s="6">
        <f t="shared" si="36"/>
        <v>1</v>
      </c>
      <c r="C462" s="7">
        <v>42024</v>
      </c>
      <c r="D462" s="8" t="s">
        <v>90</v>
      </c>
      <c r="E462" s="8">
        <v>231811.96038300401</v>
      </c>
      <c r="F462" s="8" t="s">
        <v>91</v>
      </c>
      <c r="G462" s="8" t="s">
        <v>58</v>
      </c>
      <c r="H462" s="8" t="s">
        <v>92</v>
      </c>
      <c r="I462" s="8" t="s">
        <v>49</v>
      </c>
      <c r="J462" s="8" t="s">
        <v>145</v>
      </c>
      <c r="K462" s="8" t="s">
        <v>33</v>
      </c>
      <c r="L462" s="8" t="s">
        <v>54</v>
      </c>
      <c r="M462" s="8" t="s">
        <v>30</v>
      </c>
      <c r="N462" s="26">
        <v>42025</v>
      </c>
      <c r="O462" s="14">
        <v>57.653856916102399</v>
      </c>
      <c r="P462" s="8">
        <v>26.689640569203402</v>
      </c>
      <c r="Q462" s="19">
        <f t="shared" si="35"/>
        <v>1538.7607185190548</v>
      </c>
      <c r="R462" s="20">
        <v>4.8856893263751699E-2</v>
      </c>
      <c r="S462" s="29">
        <f t="shared" si="37"/>
        <v>75.179068183139336</v>
      </c>
      <c r="T462" s="20">
        <f t="shared" si="38"/>
        <v>1463.5816503359154</v>
      </c>
      <c r="U462" s="21">
        <v>7.4177470362823898</v>
      </c>
      <c r="V462" s="31">
        <f t="shared" si="39"/>
        <v>1470.9993973721978</v>
      </c>
    </row>
    <row r="463" spans="1:22" x14ac:dyDescent="0.3">
      <c r="A463" s="6" t="s">
        <v>167</v>
      </c>
      <c r="B463" s="6">
        <f t="shared" si="36"/>
        <v>1</v>
      </c>
      <c r="C463" s="7">
        <v>42026</v>
      </c>
      <c r="D463" s="8" t="s">
        <v>168</v>
      </c>
      <c r="E463" s="8">
        <v>12</v>
      </c>
      <c r="F463" s="8" t="s">
        <v>169</v>
      </c>
      <c r="G463" s="8" t="s">
        <v>24</v>
      </c>
      <c r="H463" s="8" t="s">
        <v>39</v>
      </c>
      <c r="I463" s="8" t="s">
        <v>60</v>
      </c>
      <c r="J463" s="8" t="s">
        <v>50</v>
      </c>
      <c r="K463" s="8" t="s">
        <v>28</v>
      </c>
      <c r="L463" s="8" t="s">
        <v>51</v>
      </c>
      <c r="M463" s="8" t="s">
        <v>30</v>
      </c>
      <c r="N463" s="26">
        <v>42027</v>
      </c>
      <c r="O463" s="14">
        <v>20.99</v>
      </c>
      <c r="P463" s="8">
        <v>3</v>
      </c>
      <c r="Q463" s="19">
        <f t="shared" si="35"/>
        <v>62.97</v>
      </c>
      <c r="R463" s="20">
        <v>0.01</v>
      </c>
      <c r="S463" s="29">
        <f t="shared" si="37"/>
        <v>0.62970000000000004</v>
      </c>
      <c r="T463" s="20">
        <f t="shared" si="38"/>
        <v>62.340299999999999</v>
      </c>
      <c r="U463" s="21">
        <v>4.8099999999999996</v>
      </c>
      <c r="V463" s="31">
        <f t="shared" si="39"/>
        <v>67.150300000000001</v>
      </c>
    </row>
    <row r="464" spans="1:22" x14ac:dyDescent="0.3">
      <c r="A464" s="6" t="s">
        <v>170</v>
      </c>
      <c r="B464" s="6">
        <f t="shared" si="36"/>
        <v>1</v>
      </c>
      <c r="C464" s="7">
        <v>42026</v>
      </c>
      <c r="D464" s="8" t="s">
        <v>168</v>
      </c>
      <c r="E464" s="8">
        <v>12</v>
      </c>
      <c r="F464" s="8" t="s">
        <v>169</v>
      </c>
      <c r="G464" s="8" t="s">
        <v>24</v>
      </c>
      <c r="H464" s="8" t="s">
        <v>39</v>
      </c>
      <c r="I464" s="8" t="s">
        <v>60</v>
      </c>
      <c r="J464" s="8" t="s">
        <v>171</v>
      </c>
      <c r="K464" s="8" t="s">
        <v>33</v>
      </c>
      <c r="L464" s="8" t="s">
        <v>54</v>
      </c>
      <c r="M464" s="8" t="s">
        <v>42</v>
      </c>
      <c r="N464" s="26">
        <v>42026</v>
      </c>
      <c r="O464" s="14">
        <v>22.38</v>
      </c>
      <c r="P464" s="8">
        <v>42</v>
      </c>
      <c r="Q464" s="19">
        <f t="shared" si="35"/>
        <v>939.95999999999992</v>
      </c>
      <c r="R464" s="20">
        <v>7.0000000000000007E-2</v>
      </c>
      <c r="S464" s="29">
        <f t="shared" si="37"/>
        <v>65.797200000000004</v>
      </c>
      <c r="T464" s="20">
        <f t="shared" si="38"/>
        <v>874.16279999999995</v>
      </c>
      <c r="U464" s="21">
        <v>15.1</v>
      </c>
      <c r="V464" s="31">
        <f t="shared" si="39"/>
        <v>889.26279999999997</v>
      </c>
    </row>
    <row r="465" spans="1:22" x14ac:dyDescent="0.3">
      <c r="A465" s="6" t="s">
        <v>170</v>
      </c>
      <c r="B465" s="6">
        <f t="shared" si="36"/>
        <v>1</v>
      </c>
      <c r="C465" s="7">
        <v>42026</v>
      </c>
      <c r="D465" s="8" t="s">
        <v>168</v>
      </c>
      <c r="E465" s="8">
        <v>12</v>
      </c>
      <c r="F465" s="8" t="s">
        <v>169</v>
      </c>
      <c r="G465" s="8" t="s">
        <v>24</v>
      </c>
      <c r="H465" s="8" t="s">
        <v>39</v>
      </c>
      <c r="I465" s="8" t="s">
        <v>60</v>
      </c>
      <c r="J465" s="8" t="s">
        <v>70</v>
      </c>
      <c r="K465" s="8" t="s">
        <v>28</v>
      </c>
      <c r="L465" s="8" t="s">
        <v>54</v>
      </c>
      <c r="M465" s="8" t="s">
        <v>30</v>
      </c>
      <c r="N465" s="26">
        <v>42028</v>
      </c>
      <c r="O465" s="14">
        <v>19.98</v>
      </c>
      <c r="P465" s="8">
        <v>45</v>
      </c>
      <c r="Q465" s="19">
        <f t="shared" si="35"/>
        <v>899.1</v>
      </c>
      <c r="R465" s="20">
        <v>0.06</v>
      </c>
      <c r="S465" s="29">
        <f t="shared" si="37"/>
        <v>53.945999999999998</v>
      </c>
      <c r="T465" s="20">
        <f t="shared" si="38"/>
        <v>845.154</v>
      </c>
      <c r="U465" s="21">
        <v>4</v>
      </c>
      <c r="V465" s="31">
        <f t="shared" si="39"/>
        <v>849.154</v>
      </c>
    </row>
    <row r="466" spans="1:22" x14ac:dyDescent="0.3">
      <c r="A466" s="6" t="s">
        <v>172</v>
      </c>
      <c r="B466" s="6">
        <f t="shared" si="36"/>
        <v>1</v>
      </c>
      <c r="C466" s="7">
        <v>42053</v>
      </c>
      <c r="D466" s="8" t="s">
        <v>173</v>
      </c>
      <c r="E466" s="8">
        <v>12</v>
      </c>
      <c r="F466" s="8" t="s">
        <v>174</v>
      </c>
      <c r="G466" s="8" t="s">
        <v>85</v>
      </c>
      <c r="H466" s="8" t="s">
        <v>48</v>
      </c>
      <c r="I466" s="8" t="s">
        <v>136</v>
      </c>
      <c r="J466" s="8" t="s">
        <v>175</v>
      </c>
      <c r="K466" s="8" t="s">
        <v>33</v>
      </c>
      <c r="L466" s="8" t="s">
        <v>54</v>
      </c>
      <c r="M466" s="8" t="s">
        <v>30</v>
      </c>
      <c r="N466" s="26">
        <v>42056</v>
      </c>
      <c r="O466" s="14">
        <v>5.53</v>
      </c>
      <c r="P466" s="8">
        <v>12</v>
      </c>
      <c r="Q466" s="19">
        <f t="shared" si="35"/>
        <v>66.36</v>
      </c>
      <c r="R466" s="20">
        <v>0.06</v>
      </c>
      <c r="S466" s="29">
        <f t="shared" si="37"/>
        <v>3.9815999999999998</v>
      </c>
      <c r="T466" s="20">
        <f t="shared" si="38"/>
        <v>62.378399999999999</v>
      </c>
      <c r="U466" s="21">
        <v>6.98</v>
      </c>
      <c r="V466" s="31">
        <f t="shared" si="39"/>
        <v>69.358400000000003</v>
      </c>
    </row>
    <row r="467" spans="1:22" x14ac:dyDescent="0.3">
      <c r="A467" s="6" t="s">
        <v>176</v>
      </c>
      <c r="B467" s="6">
        <f t="shared" si="36"/>
        <v>1</v>
      </c>
      <c r="C467" s="7">
        <v>42053</v>
      </c>
      <c r="D467" s="8" t="s">
        <v>173</v>
      </c>
      <c r="E467" s="8">
        <v>12</v>
      </c>
      <c r="F467" s="8" t="s">
        <v>174</v>
      </c>
      <c r="G467" s="8" t="s">
        <v>85</v>
      </c>
      <c r="H467" s="8" t="s">
        <v>48</v>
      </c>
      <c r="I467" s="8" t="s">
        <v>136</v>
      </c>
      <c r="J467" s="8" t="s">
        <v>177</v>
      </c>
      <c r="K467" s="8" t="s">
        <v>33</v>
      </c>
      <c r="L467" s="8" t="s">
        <v>34</v>
      </c>
      <c r="M467" s="8" t="s">
        <v>30</v>
      </c>
      <c r="N467" s="26">
        <v>42054</v>
      </c>
      <c r="O467" s="14">
        <v>3.85</v>
      </c>
      <c r="P467" s="8">
        <v>12</v>
      </c>
      <c r="Q467" s="19">
        <f t="shared" si="35"/>
        <v>46.2</v>
      </c>
      <c r="R467" s="20">
        <v>0.1</v>
      </c>
      <c r="S467" s="29">
        <f t="shared" si="37"/>
        <v>4.62</v>
      </c>
      <c r="T467" s="20">
        <f t="shared" si="38"/>
        <v>41.580000000000005</v>
      </c>
      <c r="U467" s="21">
        <v>0.7</v>
      </c>
      <c r="V467" s="31">
        <f t="shared" si="39"/>
        <v>42.280000000000008</v>
      </c>
    </row>
    <row r="468" spans="1:22" x14ac:dyDescent="0.3">
      <c r="A468" s="6" t="s">
        <v>178</v>
      </c>
      <c r="B468" s="6">
        <f t="shared" si="36"/>
        <v>2</v>
      </c>
      <c r="C468" s="7">
        <v>42119</v>
      </c>
      <c r="D468" s="8" t="s">
        <v>179</v>
      </c>
      <c r="E468" s="8">
        <v>12</v>
      </c>
      <c r="F468" s="8" t="s">
        <v>180</v>
      </c>
      <c r="G468" s="8" t="s">
        <v>38</v>
      </c>
      <c r="H468" s="8" t="s">
        <v>48</v>
      </c>
      <c r="I468" s="8" t="s">
        <v>60</v>
      </c>
      <c r="J468" s="8" t="s">
        <v>181</v>
      </c>
      <c r="K468" s="8" t="s">
        <v>33</v>
      </c>
      <c r="L468" s="8" t="s">
        <v>34</v>
      </c>
      <c r="M468" s="8" t="s">
        <v>30</v>
      </c>
      <c r="N468" s="26">
        <v>42120</v>
      </c>
      <c r="O468" s="14">
        <v>1.26</v>
      </c>
      <c r="P468" s="8">
        <v>35</v>
      </c>
      <c r="Q468" s="19">
        <f t="shared" si="35"/>
        <v>44.1</v>
      </c>
      <c r="R468" s="20">
        <v>0.1</v>
      </c>
      <c r="S468" s="29">
        <f t="shared" si="37"/>
        <v>4.41</v>
      </c>
      <c r="T468" s="20">
        <f t="shared" si="38"/>
        <v>39.69</v>
      </c>
      <c r="U468" s="21">
        <v>0.7</v>
      </c>
      <c r="V468" s="31">
        <f t="shared" si="39"/>
        <v>40.39</v>
      </c>
    </row>
    <row r="469" spans="1:22" x14ac:dyDescent="0.3">
      <c r="A469" s="6" t="s">
        <v>182</v>
      </c>
      <c r="B469" s="6">
        <f t="shared" si="36"/>
        <v>2</v>
      </c>
      <c r="C469" s="7">
        <v>42119</v>
      </c>
      <c r="D469" s="8" t="s">
        <v>179</v>
      </c>
      <c r="E469" s="8">
        <v>12</v>
      </c>
      <c r="F469" s="8" t="s">
        <v>180</v>
      </c>
      <c r="G469" s="8" t="s">
        <v>38</v>
      </c>
      <c r="H469" s="8" t="s">
        <v>48</v>
      </c>
      <c r="I469" s="8" t="s">
        <v>60</v>
      </c>
      <c r="J469" s="8" t="s">
        <v>183</v>
      </c>
      <c r="K469" s="8" t="s">
        <v>33</v>
      </c>
      <c r="L469" s="8" t="s">
        <v>34</v>
      </c>
      <c r="M469" s="8" t="s">
        <v>30</v>
      </c>
      <c r="N469" s="26">
        <v>42121</v>
      </c>
      <c r="O469" s="14">
        <v>4.26</v>
      </c>
      <c r="P469" s="8">
        <v>8</v>
      </c>
      <c r="Q469" s="19">
        <f t="shared" ref="Q469:Q521" si="40">PRODUCT(O469,P469)</f>
        <v>34.08</v>
      </c>
      <c r="R469" s="20">
        <v>0.1</v>
      </c>
      <c r="S469" s="29">
        <f t="shared" si="37"/>
        <v>3.4079999999999999</v>
      </c>
      <c r="T469" s="20">
        <f t="shared" si="38"/>
        <v>30.671999999999997</v>
      </c>
      <c r="U469" s="21">
        <v>1.2</v>
      </c>
      <c r="V469" s="31">
        <f t="shared" si="39"/>
        <v>31.871999999999996</v>
      </c>
    </row>
    <row r="470" spans="1:22" x14ac:dyDescent="0.3">
      <c r="A470" s="6" t="s">
        <v>184</v>
      </c>
      <c r="B470" s="6">
        <f t="shared" si="36"/>
        <v>2</v>
      </c>
      <c r="C470" s="7">
        <v>42135</v>
      </c>
      <c r="D470" s="8" t="s">
        <v>185</v>
      </c>
      <c r="E470" s="8">
        <v>121122</v>
      </c>
      <c r="F470" s="8" t="s">
        <v>186</v>
      </c>
      <c r="G470" s="8" t="s">
        <v>24</v>
      </c>
      <c r="H470" s="8" t="s">
        <v>25</v>
      </c>
      <c r="I470" s="8" t="s">
        <v>26</v>
      </c>
      <c r="J470" s="8" t="s">
        <v>187</v>
      </c>
      <c r="K470" s="8" t="s">
        <v>33</v>
      </c>
      <c r="L470" s="8" t="s">
        <v>29</v>
      </c>
      <c r="M470" s="8" t="s">
        <v>30</v>
      </c>
      <c r="N470" s="26">
        <v>42137</v>
      </c>
      <c r="O470" s="14">
        <v>10.23</v>
      </c>
      <c r="P470" s="8">
        <v>46</v>
      </c>
      <c r="Q470" s="19">
        <f t="shared" si="40"/>
        <v>470.58000000000004</v>
      </c>
      <c r="R470" s="20">
        <v>0.05</v>
      </c>
      <c r="S470" s="29">
        <f t="shared" si="37"/>
        <v>23.529000000000003</v>
      </c>
      <c r="T470" s="20">
        <f t="shared" si="38"/>
        <v>447.05100000000004</v>
      </c>
      <c r="U470" s="21">
        <v>4.68</v>
      </c>
      <c r="V470" s="31">
        <f t="shared" si="39"/>
        <v>451.73100000000005</v>
      </c>
    </row>
    <row r="471" spans="1:22" x14ac:dyDescent="0.3">
      <c r="A471" s="6" t="s">
        <v>188</v>
      </c>
      <c r="B471" s="6">
        <f t="shared" si="36"/>
        <v>2</v>
      </c>
      <c r="C471" s="7">
        <v>42135</v>
      </c>
      <c r="D471" s="8" t="s">
        <v>185</v>
      </c>
      <c r="E471" s="8">
        <v>121122</v>
      </c>
      <c r="F471" s="8" t="s">
        <v>186</v>
      </c>
      <c r="G471" s="8" t="s">
        <v>24</v>
      </c>
      <c r="H471" s="8" t="s">
        <v>25</v>
      </c>
      <c r="I471" s="8" t="s">
        <v>26</v>
      </c>
      <c r="J471" s="8" t="s">
        <v>189</v>
      </c>
      <c r="K471" s="8" t="s">
        <v>33</v>
      </c>
      <c r="L471" s="8" t="s">
        <v>54</v>
      </c>
      <c r="M471" s="8" t="s">
        <v>30</v>
      </c>
      <c r="N471" s="26">
        <v>42137</v>
      </c>
      <c r="O471" s="14">
        <v>5.98</v>
      </c>
      <c r="P471" s="8">
        <v>4</v>
      </c>
      <c r="Q471" s="19">
        <f t="shared" si="40"/>
        <v>23.92</v>
      </c>
      <c r="R471" s="20">
        <v>7.0000000000000007E-2</v>
      </c>
      <c r="S471" s="29">
        <f t="shared" si="37"/>
        <v>1.6744000000000003</v>
      </c>
      <c r="T471" s="20">
        <f t="shared" si="38"/>
        <v>22.245600000000003</v>
      </c>
      <c r="U471" s="21">
        <v>1.49</v>
      </c>
      <c r="V471" s="31">
        <f t="shared" si="39"/>
        <v>23.735600000000002</v>
      </c>
    </row>
    <row r="472" spans="1:22" x14ac:dyDescent="0.3">
      <c r="A472" s="6" t="s">
        <v>190</v>
      </c>
      <c r="B472" s="6">
        <f t="shared" si="36"/>
        <v>2</v>
      </c>
      <c r="C472" s="7">
        <v>42180</v>
      </c>
      <c r="D472" s="8" t="s">
        <v>191</v>
      </c>
      <c r="E472" s="8">
        <v>123</v>
      </c>
      <c r="F472" s="8" t="s">
        <v>192</v>
      </c>
      <c r="G472" s="8" t="s">
        <v>85</v>
      </c>
      <c r="H472" s="8" t="s">
        <v>118</v>
      </c>
      <c r="I472" s="8" t="s">
        <v>26</v>
      </c>
      <c r="J472" s="8" t="s">
        <v>193</v>
      </c>
      <c r="K472" s="8" t="s">
        <v>33</v>
      </c>
      <c r="L472" s="8" t="s">
        <v>34</v>
      </c>
      <c r="M472" s="8" t="s">
        <v>30</v>
      </c>
      <c r="N472" s="26">
        <v>42180</v>
      </c>
      <c r="O472" s="14">
        <v>2.6</v>
      </c>
      <c r="P472" s="8">
        <v>26</v>
      </c>
      <c r="Q472" s="19">
        <f t="shared" si="40"/>
        <v>67.600000000000009</v>
      </c>
      <c r="R472" s="20">
        <v>0.08</v>
      </c>
      <c r="S472" s="29">
        <f t="shared" si="37"/>
        <v>5.4080000000000004</v>
      </c>
      <c r="T472" s="20">
        <f t="shared" si="38"/>
        <v>62.192000000000007</v>
      </c>
      <c r="U472" s="21">
        <v>2.4</v>
      </c>
      <c r="V472" s="31">
        <f t="shared" si="39"/>
        <v>64.592000000000013</v>
      </c>
    </row>
    <row r="473" spans="1:22" x14ac:dyDescent="0.3">
      <c r="A473" s="6" t="s">
        <v>194</v>
      </c>
      <c r="B473" s="6">
        <f t="shared" si="36"/>
        <v>2</v>
      </c>
      <c r="C473" s="7">
        <v>42180</v>
      </c>
      <c r="D473" s="8" t="s">
        <v>191</v>
      </c>
      <c r="E473" s="8">
        <v>123</v>
      </c>
      <c r="F473" s="8" t="s">
        <v>192</v>
      </c>
      <c r="G473" s="8" t="s">
        <v>85</v>
      </c>
      <c r="H473" s="8" t="s">
        <v>118</v>
      </c>
      <c r="I473" s="8" t="s">
        <v>26</v>
      </c>
      <c r="J473" s="8" t="s">
        <v>195</v>
      </c>
      <c r="K473" s="8" t="s">
        <v>28</v>
      </c>
      <c r="L473" s="8" t="s">
        <v>54</v>
      </c>
      <c r="M473" s="8" t="s">
        <v>30</v>
      </c>
      <c r="N473" s="26">
        <v>42182</v>
      </c>
      <c r="O473" s="14">
        <v>80.98</v>
      </c>
      <c r="P473" s="8">
        <v>34</v>
      </c>
      <c r="Q473" s="19">
        <f t="shared" si="40"/>
        <v>2753.32</v>
      </c>
      <c r="R473" s="20">
        <v>0.02</v>
      </c>
      <c r="S473" s="29">
        <f t="shared" si="37"/>
        <v>55.066400000000002</v>
      </c>
      <c r="T473" s="20">
        <f t="shared" si="38"/>
        <v>2698.2536</v>
      </c>
      <c r="U473" s="21">
        <v>7.18</v>
      </c>
      <c r="V473" s="31">
        <f t="shared" si="39"/>
        <v>2705.4335999999998</v>
      </c>
    </row>
    <row r="474" spans="1:22" x14ac:dyDescent="0.3">
      <c r="A474" s="6" t="s">
        <v>196</v>
      </c>
      <c r="B474" s="6">
        <f t="shared" si="36"/>
        <v>3</v>
      </c>
      <c r="C474" s="7">
        <v>42210</v>
      </c>
      <c r="D474" s="8" t="s">
        <v>197</v>
      </c>
      <c r="E474" s="8">
        <v>123124</v>
      </c>
      <c r="F474" s="8" t="s">
        <v>198</v>
      </c>
      <c r="G474" s="8" t="s">
        <v>85</v>
      </c>
      <c r="H474" s="8" t="s">
        <v>74</v>
      </c>
      <c r="I474" s="8" t="s">
        <v>136</v>
      </c>
      <c r="J474" s="8" t="s">
        <v>199</v>
      </c>
      <c r="K474" s="8" t="s">
        <v>33</v>
      </c>
      <c r="L474" s="8" t="s">
        <v>34</v>
      </c>
      <c r="M474" s="8" t="s">
        <v>42</v>
      </c>
      <c r="N474" s="26">
        <v>42211</v>
      </c>
      <c r="O474" s="14">
        <v>3.14</v>
      </c>
      <c r="P474" s="8">
        <v>43</v>
      </c>
      <c r="Q474" s="19">
        <f t="shared" si="40"/>
        <v>135.02000000000001</v>
      </c>
      <c r="R474" s="20">
        <v>7.0000000000000007E-2</v>
      </c>
      <c r="S474" s="29">
        <f t="shared" si="37"/>
        <v>9.4514000000000014</v>
      </c>
      <c r="T474" s="20">
        <f t="shared" si="38"/>
        <v>125.5686</v>
      </c>
      <c r="U474" s="21">
        <v>1.1399999999999999</v>
      </c>
      <c r="V474" s="31">
        <f t="shared" si="39"/>
        <v>126.7086</v>
      </c>
    </row>
    <row r="475" spans="1:22" x14ac:dyDescent="0.3">
      <c r="A475" s="6" t="s">
        <v>200</v>
      </c>
      <c r="B475" s="6">
        <f t="shared" si="36"/>
        <v>3</v>
      </c>
      <c r="C475" s="7">
        <v>42210</v>
      </c>
      <c r="D475" s="8" t="s">
        <v>197</v>
      </c>
      <c r="E475" s="8">
        <v>123124</v>
      </c>
      <c r="F475" s="8" t="s">
        <v>198</v>
      </c>
      <c r="G475" s="8" t="s">
        <v>85</v>
      </c>
      <c r="H475" s="8" t="s">
        <v>74</v>
      </c>
      <c r="I475" s="8" t="s">
        <v>136</v>
      </c>
      <c r="J475" s="8" t="s">
        <v>201</v>
      </c>
      <c r="K475" s="8" t="s">
        <v>33</v>
      </c>
      <c r="L475" s="8" t="s">
        <v>29</v>
      </c>
      <c r="M475" s="8" t="s">
        <v>30</v>
      </c>
      <c r="N475" s="26">
        <v>42212</v>
      </c>
      <c r="O475" s="14">
        <v>3.57</v>
      </c>
      <c r="P475" s="8">
        <v>19</v>
      </c>
      <c r="Q475" s="19">
        <f t="shared" si="40"/>
        <v>67.83</v>
      </c>
      <c r="R475" s="20">
        <v>0.08</v>
      </c>
      <c r="S475" s="29">
        <f t="shared" si="37"/>
        <v>5.4264000000000001</v>
      </c>
      <c r="T475" s="20">
        <f t="shared" si="38"/>
        <v>62.403599999999997</v>
      </c>
      <c r="U475" s="21">
        <v>4.17</v>
      </c>
      <c r="V475" s="31">
        <f t="shared" si="39"/>
        <v>66.573599999999999</v>
      </c>
    </row>
    <row r="476" spans="1:22" x14ac:dyDescent="0.3">
      <c r="A476" s="6" t="s">
        <v>202</v>
      </c>
      <c r="B476" s="6">
        <f t="shared" si="36"/>
        <v>3</v>
      </c>
      <c r="C476" s="7">
        <v>42212</v>
      </c>
      <c r="D476" s="8" t="s">
        <v>203</v>
      </c>
      <c r="E476" s="8">
        <v>125126</v>
      </c>
      <c r="F476" s="8" t="s">
        <v>204</v>
      </c>
      <c r="G476" s="8" t="s">
        <v>38</v>
      </c>
      <c r="H476" s="8" t="s">
        <v>48</v>
      </c>
      <c r="I476" s="8" t="s">
        <v>40</v>
      </c>
      <c r="J476" s="8" t="s">
        <v>152</v>
      </c>
      <c r="K476" s="8" t="s">
        <v>33</v>
      </c>
      <c r="L476" s="8" t="s">
        <v>34</v>
      </c>
      <c r="M476" s="8" t="s">
        <v>42</v>
      </c>
      <c r="N476" s="26">
        <v>42216</v>
      </c>
      <c r="O476" s="14">
        <v>1.48</v>
      </c>
      <c r="P476" s="8">
        <v>37</v>
      </c>
      <c r="Q476" s="19">
        <f t="shared" si="40"/>
        <v>54.76</v>
      </c>
      <c r="R476" s="20">
        <v>0.04</v>
      </c>
      <c r="S476" s="29">
        <f t="shared" si="37"/>
        <v>2.1903999999999999</v>
      </c>
      <c r="T476" s="20">
        <f t="shared" si="38"/>
        <v>52.569600000000001</v>
      </c>
      <c r="U476" s="21">
        <v>0.7</v>
      </c>
      <c r="V476" s="31">
        <f t="shared" si="39"/>
        <v>53.269600000000004</v>
      </c>
    </row>
    <row r="477" spans="1:22" x14ac:dyDescent="0.3">
      <c r="A477" s="6" t="s">
        <v>205</v>
      </c>
      <c r="B477" s="6">
        <f t="shared" si="36"/>
        <v>3</v>
      </c>
      <c r="C477" s="7">
        <v>42212</v>
      </c>
      <c r="D477" s="8" t="s">
        <v>203</v>
      </c>
      <c r="E477" s="8">
        <v>125126</v>
      </c>
      <c r="F477" s="8" t="s">
        <v>204</v>
      </c>
      <c r="G477" s="8" t="s">
        <v>38</v>
      </c>
      <c r="H477" s="8" t="s">
        <v>48</v>
      </c>
      <c r="I477" s="8" t="s">
        <v>40</v>
      </c>
      <c r="J477" s="8" t="s">
        <v>206</v>
      </c>
      <c r="K477" s="8" t="s">
        <v>33</v>
      </c>
      <c r="L477" s="8" t="s">
        <v>34</v>
      </c>
      <c r="M477" s="8" t="s">
        <v>30</v>
      </c>
      <c r="N477" s="26">
        <v>42217</v>
      </c>
      <c r="O477" s="14">
        <v>19.84</v>
      </c>
      <c r="P477" s="8">
        <v>28</v>
      </c>
      <c r="Q477" s="19">
        <f t="shared" si="40"/>
        <v>555.52</v>
      </c>
      <c r="R477" s="20">
        <v>0.08</v>
      </c>
      <c r="S477" s="29">
        <f t="shared" si="37"/>
        <v>44.441600000000001</v>
      </c>
      <c r="T477" s="20">
        <f t="shared" si="38"/>
        <v>511.07839999999999</v>
      </c>
      <c r="U477" s="21">
        <v>4.0999999999999996</v>
      </c>
      <c r="V477" s="31">
        <f t="shared" si="39"/>
        <v>515.17840000000001</v>
      </c>
    </row>
    <row r="478" spans="1:22" x14ac:dyDescent="0.3">
      <c r="A478" s="6" t="s">
        <v>207</v>
      </c>
      <c r="B478" s="6">
        <f t="shared" si="36"/>
        <v>3</v>
      </c>
      <c r="C478" s="7">
        <v>42226</v>
      </c>
      <c r="D478" s="8" t="s">
        <v>208</v>
      </c>
      <c r="E478" s="8">
        <v>127128</v>
      </c>
      <c r="F478" s="8" t="s">
        <v>209</v>
      </c>
      <c r="G478" s="8" t="s">
        <v>38</v>
      </c>
      <c r="H478" s="8" t="s">
        <v>92</v>
      </c>
      <c r="I478" s="8" t="s">
        <v>49</v>
      </c>
      <c r="J478" s="8" t="s">
        <v>210</v>
      </c>
      <c r="K478" s="8" t="s">
        <v>33</v>
      </c>
      <c r="L478" s="8" t="s">
        <v>54</v>
      </c>
      <c r="M478" s="8" t="s">
        <v>30</v>
      </c>
      <c r="N478" s="26">
        <v>42227</v>
      </c>
      <c r="O478" s="14">
        <v>4.38</v>
      </c>
      <c r="P478" s="8">
        <v>24</v>
      </c>
      <c r="Q478" s="19">
        <f t="shared" si="40"/>
        <v>105.12</v>
      </c>
      <c r="R478" s="20">
        <v>0.02</v>
      </c>
      <c r="S478" s="29">
        <f t="shared" si="37"/>
        <v>2.1024000000000003</v>
      </c>
      <c r="T478" s="20">
        <f t="shared" si="38"/>
        <v>103.0176</v>
      </c>
      <c r="U478" s="21">
        <v>6.21</v>
      </c>
      <c r="V478" s="31">
        <f t="shared" si="39"/>
        <v>109.2276</v>
      </c>
    </row>
    <row r="479" spans="1:22" x14ac:dyDescent="0.3">
      <c r="A479" s="6" t="s">
        <v>211</v>
      </c>
      <c r="B479" s="6">
        <f t="shared" si="36"/>
        <v>3</v>
      </c>
      <c r="C479" s="7">
        <v>42226</v>
      </c>
      <c r="D479" s="8" t="s">
        <v>208</v>
      </c>
      <c r="E479" s="8">
        <v>127128</v>
      </c>
      <c r="F479" s="8" t="s">
        <v>209</v>
      </c>
      <c r="G479" s="8" t="s">
        <v>38</v>
      </c>
      <c r="H479" s="8" t="s">
        <v>92</v>
      </c>
      <c r="I479" s="8" t="s">
        <v>49</v>
      </c>
      <c r="J479" s="8" t="s">
        <v>212</v>
      </c>
      <c r="K479" s="8" t="s">
        <v>33</v>
      </c>
      <c r="L479" s="8" t="s">
        <v>29</v>
      </c>
      <c r="M479" s="8" t="s">
        <v>30</v>
      </c>
      <c r="N479" s="26">
        <v>42229</v>
      </c>
      <c r="O479" s="14">
        <v>9.31</v>
      </c>
      <c r="P479" s="8">
        <v>30</v>
      </c>
      <c r="Q479" s="19">
        <f t="shared" si="40"/>
        <v>279.3</v>
      </c>
      <c r="R479" s="20">
        <v>0.03</v>
      </c>
      <c r="S479" s="29">
        <f t="shared" si="37"/>
        <v>8.3789999999999996</v>
      </c>
      <c r="T479" s="20">
        <f t="shared" si="38"/>
        <v>270.92099999999999</v>
      </c>
      <c r="U479" s="21">
        <v>3.98</v>
      </c>
      <c r="V479" s="31">
        <f t="shared" si="39"/>
        <v>274.90100000000001</v>
      </c>
    </row>
    <row r="480" spans="1:22" x14ac:dyDescent="0.3">
      <c r="A480" s="6" t="s">
        <v>213</v>
      </c>
      <c r="B480" s="6">
        <f t="shared" si="36"/>
        <v>4</v>
      </c>
      <c r="C480" s="7">
        <v>42292</v>
      </c>
      <c r="D480" s="8" t="s">
        <v>214</v>
      </c>
      <c r="E480" s="8">
        <v>129130</v>
      </c>
      <c r="F480" s="8" t="s">
        <v>215</v>
      </c>
      <c r="G480" s="8" t="s">
        <v>58</v>
      </c>
      <c r="H480" s="8" t="s">
        <v>59</v>
      </c>
      <c r="I480" s="8" t="s">
        <v>40</v>
      </c>
      <c r="J480" s="8" t="s">
        <v>121</v>
      </c>
      <c r="K480" s="8" t="s">
        <v>33</v>
      </c>
      <c r="L480" s="8" t="s">
        <v>34</v>
      </c>
      <c r="M480" s="8" t="s">
        <v>42</v>
      </c>
      <c r="N480" s="26">
        <v>42292</v>
      </c>
      <c r="O480" s="14">
        <v>2.4700000000000002</v>
      </c>
      <c r="P480" s="8">
        <v>45</v>
      </c>
      <c r="Q480" s="19">
        <f t="shared" si="40"/>
        <v>111.15</v>
      </c>
      <c r="R480" s="20">
        <v>7.0000000000000007E-2</v>
      </c>
      <c r="S480" s="29">
        <f t="shared" si="37"/>
        <v>7.7805000000000009</v>
      </c>
      <c r="T480" s="20">
        <f t="shared" si="38"/>
        <v>103.3695</v>
      </c>
      <c r="U480" s="21">
        <v>1.02</v>
      </c>
      <c r="V480" s="31">
        <f t="shared" si="39"/>
        <v>104.3895</v>
      </c>
    </row>
    <row r="481" spans="1:22" x14ac:dyDescent="0.3">
      <c r="A481" s="6" t="s">
        <v>216</v>
      </c>
      <c r="B481" s="6">
        <f t="shared" si="36"/>
        <v>4</v>
      </c>
      <c r="C481" s="7">
        <v>42292</v>
      </c>
      <c r="D481" s="8" t="s">
        <v>214</v>
      </c>
      <c r="E481" s="8">
        <v>129130</v>
      </c>
      <c r="F481" s="8" t="s">
        <v>215</v>
      </c>
      <c r="G481" s="8" t="s">
        <v>58</v>
      </c>
      <c r="H481" s="8" t="s">
        <v>59</v>
      </c>
      <c r="I481" s="8" t="s">
        <v>40</v>
      </c>
      <c r="J481" s="8" t="s">
        <v>217</v>
      </c>
      <c r="K481" s="8" t="s">
        <v>33</v>
      </c>
      <c r="L481" s="8" t="s">
        <v>34</v>
      </c>
      <c r="M481" s="8" t="s">
        <v>30</v>
      </c>
      <c r="N481" s="26">
        <v>42296</v>
      </c>
      <c r="O481" s="14">
        <v>5.43</v>
      </c>
      <c r="P481" s="8">
        <v>11</v>
      </c>
      <c r="Q481" s="19">
        <f t="shared" si="40"/>
        <v>59.73</v>
      </c>
      <c r="R481" s="20">
        <v>0</v>
      </c>
      <c r="S481" s="29">
        <f t="shared" si="37"/>
        <v>0</v>
      </c>
      <c r="T481" s="20">
        <f t="shared" si="38"/>
        <v>59.73</v>
      </c>
      <c r="U481" s="21">
        <v>0.95</v>
      </c>
      <c r="V481" s="31">
        <f t="shared" si="39"/>
        <v>60.68</v>
      </c>
    </row>
    <row r="482" spans="1:22" x14ac:dyDescent="0.3">
      <c r="A482" s="6" t="s">
        <v>218</v>
      </c>
      <c r="B482" s="6">
        <f t="shared" si="36"/>
        <v>4</v>
      </c>
      <c r="C482" s="7">
        <v>42309</v>
      </c>
      <c r="D482" s="8" t="s">
        <v>219</v>
      </c>
      <c r="E482" s="8">
        <v>13</v>
      </c>
      <c r="F482" s="8" t="s">
        <v>220</v>
      </c>
      <c r="G482" s="8" t="s">
        <v>38</v>
      </c>
      <c r="H482" s="8" t="s">
        <v>59</v>
      </c>
      <c r="I482" s="8" t="s">
        <v>40</v>
      </c>
      <c r="J482" s="8" t="s">
        <v>183</v>
      </c>
      <c r="K482" s="8" t="s">
        <v>33</v>
      </c>
      <c r="L482" s="8" t="s">
        <v>34</v>
      </c>
      <c r="M482" s="8" t="s">
        <v>30</v>
      </c>
      <c r="N482" s="26">
        <v>42311</v>
      </c>
      <c r="O482" s="14">
        <v>4.26</v>
      </c>
      <c r="P482" s="8">
        <v>47</v>
      </c>
      <c r="Q482" s="19">
        <f t="shared" si="40"/>
        <v>200.22</v>
      </c>
      <c r="R482" s="20">
        <v>7.0000000000000007E-2</v>
      </c>
      <c r="S482" s="29">
        <f t="shared" si="37"/>
        <v>14.015400000000001</v>
      </c>
      <c r="T482" s="20">
        <f t="shared" si="38"/>
        <v>186.2046</v>
      </c>
      <c r="U482" s="21">
        <v>1.2</v>
      </c>
      <c r="V482" s="31">
        <f t="shared" si="39"/>
        <v>187.40459999999999</v>
      </c>
    </row>
    <row r="483" spans="1:22" x14ac:dyDescent="0.3">
      <c r="A483" s="6" t="s">
        <v>221</v>
      </c>
      <c r="B483" s="6">
        <f t="shared" si="36"/>
        <v>4</v>
      </c>
      <c r="C483" s="7">
        <v>42309</v>
      </c>
      <c r="D483" s="8" t="s">
        <v>219</v>
      </c>
      <c r="E483" s="8">
        <v>13</v>
      </c>
      <c r="F483" s="8" t="s">
        <v>220</v>
      </c>
      <c r="G483" s="8" t="s">
        <v>38</v>
      </c>
      <c r="H483" s="8" t="s">
        <v>59</v>
      </c>
      <c r="I483" s="8" t="s">
        <v>40</v>
      </c>
      <c r="J483" s="8" t="s">
        <v>222</v>
      </c>
      <c r="K483" s="8" t="s">
        <v>33</v>
      </c>
      <c r="L483" s="8" t="s">
        <v>34</v>
      </c>
      <c r="M483" s="8" t="s">
        <v>30</v>
      </c>
      <c r="N483" s="26">
        <v>42314</v>
      </c>
      <c r="O483" s="14">
        <v>2.88</v>
      </c>
      <c r="P483" s="8">
        <v>17</v>
      </c>
      <c r="Q483" s="19">
        <f t="shared" si="40"/>
        <v>48.96</v>
      </c>
      <c r="R483" s="20">
        <v>0.09</v>
      </c>
      <c r="S483" s="29">
        <f t="shared" si="37"/>
        <v>4.4063999999999997</v>
      </c>
      <c r="T483" s="20">
        <f t="shared" si="38"/>
        <v>44.553600000000003</v>
      </c>
      <c r="U483" s="21">
        <v>1.01</v>
      </c>
      <c r="V483" s="31">
        <f t="shared" si="39"/>
        <v>45.563600000000001</v>
      </c>
    </row>
    <row r="484" spans="1:22" x14ac:dyDescent="0.3">
      <c r="A484" s="6" t="s">
        <v>223</v>
      </c>
      <c r="B484" s="6">
        <f t="shared" si="36"/>
        <v>4</v>
      </c>
      <c r="C484" s="7">
        <v>42354</v>
      </c>
      <c r="D484" s="8" t="s">
        <v>224</v>
      </c>
      <c r="E484" s="8">
        <v>13</v>
      </c>
      <c r="F484" s="8" t="s">
        <v>225</v>
      </c>
      <c r="G484" s="8" t="s">
        <v>85</v>
      </c>
      <c r="H484" s="8" t="s">
        <v>25</v>
      </c>
      <c r="I484" s="8" t="s">
        <v>60</v>
      </c>
      <c r="J484" s="8" t="s">
        <v>70</v>
      </c>
      <c r="K484" s="8" t="s">
        <v>28</v>
      </c>
      <c r="L484" s="8" t="s">
        <v>54</v>
      </c>
      <c r="M484" s="8" t="s">
        <v>42</v>
      </c>
      <c r="N484" s="26">
        <v>42356</v>
      </c>
      <c r="O484" s="14">
        <v>19.98</v>
      </c>
      <c r="P484" s="8">
        <v>18</v>
      </c>
      <c r="Q484" s="19">
        <f t="shared" si="40"/>
        <v>359.64</v>
      </c>
      <c r="R484" s="20">
        <v>0.04</v>
      </c>
      <c r="S484" s="29">
        <f t="shared" si="37"/>
        <v>14.3856</v>
      </c>
      <c r="T484" s="20">
        <f t="shared" si="38"/>
        <v>345.25439999999998</v>
      </c>
      <c r="U484" s="21">
        <v>4</v>
      </c>
      <c r="V484" s="31">
        <f t="shared" si="39"/>
        <v>349.25439999999998</v>
      </c>
    </row>
    <row r="485" spans="1:22" x14ac:dyDescent="0.3">
      <c r="A485" s="6" t="s">
        <v>226</v>
      </c>
      <c r="B485" s="6">
        <f t="shared" si="36"/>
        <v>4</v>
      </c>
      <c r="C485" s="7">
        <v>42354</v>
      </c>
      <c r="D485" s="8" t="s">
        <v>224</v>
      </c>
      <c r="E485" s="8">
        <v>13</v>
      </c>
      <c r="F485" s="8" t="s">
        <v>225</v>
      </c>
      <c r="G485" s="8" t="s">
        <v>85</v>
      </c>
      <c r="H485" s="8" t="s">
        <v>25</v>
      </c>
      <c r="I485" s="8" t="s">
        <v>60</v>
      </c>
      <c r="J485" s="8" t="s">
        <v>161</v>
      </c>
      <c r="K485" s="8" t="s">
        <v>33</v>
      </c>
      <c r="L485" s="8" t="s">
        <v>54</v>
      </c>
      <c r="M485" s="8" t="s">
        <v>30</v>
      </c>
      <c r="N485" s="26">
        <v>42356</v>
      </c>
      <c r="O485" s="14">
        <v>34.76</v>
      </c>
      <c r="P485" s="8">
        <v>46</v>
      </c>
      <c r="Q485" s="19">
        <f t="shared" si="40"/>
        <v>1598.9599999999998</v>
      </c>
      <c r="R485" s="20">
        <v>0.09</v>
      </c>
      <c r="S485" s="29">
        <f t="shared" si="37"/>
        <v>143.90639999999999</v>
      </c>
      <c r="T485" s="20">
        <f t="shared" si="38"/>
        <v>1455.0535999999997</v>
      </c>
      <c r="U485" s="21">
        <v>8.2200000000000006</v>
      </c>
      <c r="V485" s="31">
        <f t="shared" si="39"/>
        <v>1463.2735999999998</v>
      </c>
    </row>
    <row r="486" spans="1:22" x14ac:dyDescent="0.3">
      <c r="A486" s="6" t="s">
        <v>227</v>
      </c>
      <c r="B486" s="6">
        <f t="shared" si="36"/>
        <v>4</v>
      </c>
      <c r="C486" s="7">
        <v>42369</v>
      </c>
      <c r="D486" s="8" t="s">
        <v>228</v>
      </c>
      <c r="E486" s="8">
        <v>131132</v>
      </c>
      <c r="F486" s="8" t="s">
        <v>229</v>
      </c>
      <c r="G486" s="8" t="s">
        <v>85</v>
      </c>
      <c r="H486" s="8" t="s">
        <v>130</v>
      </c>
      <c r="I486" s="8" t="s">
        <v>136</v>
      </c>
      <c r="J486" s="8" t="s">
        <v>119</v>
      </c>
      <c r="K486" s="8" t="s">
        <v>33</v>
      </c>
      <c r="L486" s="8" t="s">
        <v>54</v>
      </c>
      <c r="M486" s="8" t="s">
        <v>30</v>
      </c>
      <c r="N486" s="26">
        <v>42370</v>
      </c>
      <c r="O486" s="14">
        <v>7.3</v>
      </c>
      <c r="P486" s="8">
        <v>38</v>
      </c>
      <c r="Q486" s="19">
        <f t="shared" si="40"/>
        <v>277.39999999999998</v>
      </c>
      <c r="R486" s="20">
        <v>0.05</v>
      </c>
      <c r="S486" s="29">
        <f t="shared" si="37"/>
        <v>13.87</v>
      </c>
      <c r="T486" s="20">
        <f t="shared" si="38"/>
        <v>263.52999999999997</v>
      </c>
      <c r="U486" s="21">
        <v>7.72</v>
      </c>
      <c r="V486" s="31">
        <f t="shared" si="39"/>
        <v>271.25</v>
      </c>
    </row>
    <row r="487" spans="1:22" x14ac:dyDescent="0.3">
      <c r="A487" s="6" t="s">
        <v>230</v>
      </c>
      <c r="B487" s="6">
        <f t="shared" si="36"/>
        <v>4</v>
      </c>
      <c r="C487" s="7">
        <v>42369</v>
      </c>
      <c r="D487" s="8" t="s">
        <v>228</v>
      </c>
      <c r="E487" s="8">
        <v>131132</v>
      </c>
      <c r="F487" s="8" t="s">
        <v>229</v>
      </c>
      <c r="G487" s="8" t="s">
        <v>85</v>
      </c>
      <c r="H487" s="8" t="s">
        <v>130</v>
      </c>
      <c r="I487" s="8" t="s">
        <v>26</v>
      </c>
      <c r="J487" s="8" t="s">
        <v>231</v>
      </c>
      <c r="K487" s="8" t="s">
        <v>33</v>
      </c>
      <c r="L487" s="8" t="s">
        <v>54</v>
      </c>
      <c r="M487" s="8" t="s">
        <v>30</v>
      </c>
      <c r="N487" s="26">
        <v>42370</v>
      </c>
      <c r="O487" s="14">
        <v>3.69</v>
      </c>
      <c r="P487" s="8">
        <v>41</v>
      </c>
      <c r="Q487" s="19">
        <f t="shared" si="40"/>
        <v>151.29</v>
      </c>
      <c r="R487" s="20">
        <v>0.01</v>
      </c>
      <c r="S487" s="29">
        <f t="shared" si="37"/>
        <v>1.5128999999999999</v>
      </c>
      <c r="T487" s="20">
        <f t="shared" si="38"/>
        <v>149.77709999999999</v>
      </c>
      <c r="U487" s="21">
        <v>0.5</v>
      </c>
      <c r="V487" s="31">
        <f t="shared" si="39"/>
        <v>150.27709999999999</v>
      </c>
    </row>
    <row r="488" spans="1:22" x14ac:dyDescent="0.3">
      <c r="A488" s="6" t="s">
        <v>230</v>
      </c>
      <c r="B488" s="6">
        <f t="shared" si="36"/>
        <v>4</v>
      </c>
      <c r="C488" s="7">
        <v>42369</v>
      </c>
      <c r="D488" s="8" t="s">
        <v>228</v>
      </c>
      <c r="E488" s="8">
        <v>131132</v>
      </c>
      <c r="F488" s="8" t="s">
        <v>229</v>
      </c>
      <c r="G488" s="8" t="s">
        <v>85</v>
      </c>
      <c r="H488" s="8" t="s">
        <v>130</v>
      </c>
      <c r="I488" s="8" t="s">
        <v>136</v>
      </c>
      <c r="J488" s="8" t="s">
        <v>232</v>
      </c>
      <c r="K488" s="8" t="s">
        <v>33</v>
      </c>
      <c r="L488" s="8" t="s">
        <v>34</v>
      </c>
      <c r="M488" s="8" t="s">
        <v>42</v>
      </c>
      <c r="N488" s="26">
        <v>42370</v>
      </c>
      <c r="O488" s="14">
        <v>9.11</v>
      </c>
      <c r="P488" s="8">
        <v>21</v>
      </c>
      <c r="Q488" s="19">
        <f t="shared" si="40"/>
        <v>191.31</v>
      </c>
      <c r="R488" s="20">
        <v>0.03</v>
      </c>
      <c r="S488" s="29">
        <f t="shared" si="37"/>
        <v>5.7393000000000001</v>
      </c>
      <c r="T488" s="20">
        <f t="shared" si="38"/>
        <v>185.57069999999999</v>
      </c>
      <c r="U488" s="21">
        <v>2.25</v>
      </c>
      <c r="V488" s="31">
        <f t="shared" si="39"/>
        <v>187.82069999999999</v>
      </c>
    </row>
    <row r="489" spans="1:22" x14ac:dyDescent="0.3">
      <c r="A489" s="6" t="s">
        <v>233</v>
      </c>
      <c r="B489" s="6">
        <f t="shared" si="36"/>
        <v>1</v>
      </c>
      <c r="C489" s="7">
        <v>42412</v>
      </c>
      <c r="D489" s="8" t="s">
        <v>234</v>
      </c>
      <c r="E489" s="8">
        <v>1314</v>
      </c>
      <c r="F489" s="8" t="s">
        <v>235</v>
      </c>
      <c r="G489" s="8" t="s">
        <v>38</v>
      </c>
      <c r="H489" s="8" t="s">
        <v>48</v>
      </c>
      <c r="I489" s="8" t="s">
        <v>60</v>
      </c>
      <c r="J489" s="8" t="s">
        <v>236</v>
      </c>
      <c r="K489" s="8" t="s">
        <v>33</v>
      </c>
      <c r="L489" s="8" t="s">
        <v>34</v>
      </c>
      <c r="M489" s="8" t="s">
        <v>30</v>
      </c>
      <c r="N489" s="26">
        <v>42413</v>
      </c>
      <c r="O489" s="14">
        <v>9.85</v>
      </c>
      <c r="P489" s="8">
        <v>48</v>
      </c>
      <c r="Q489" s="19">
        <f t="shared" si="40"/>
        <v>472.79999999999995</v>
      </c>
      <c r="R489" s="20">
        <v>0.09</v>
      </c>
      <c r="S489" s="29">
        <f t="shared" si="37"/>
        <v>42.551999999999992</v>
      </c>
      <c r="T489" s="20">
        <f t="shared" si="38"/>
        <v>430.24799999999993</v>
      </c>
      <c r="U489" s="21">
        <v>4.82</v>
      </c>
      <c r="V489" s="31">
        <f t="shared" si="39"/>
        <v>435.06799999999993</v>
      </c>
    </row>
    <row r="490" spans="1:22" x14ac:dyDescent="0.3">
      <c r="A490" s="6" t="s">
        <v>237</v>
      </c>
      <c r="B490" s="6">
        <f t="shared" si="36"/>
        <v>1</v>
      </c>
      <c r="C490" s="7">
        <v>42412</v>
      </c>
      <c r="D490" s="8" t="s">
        <v>234</v>
      </c>
      <c r="E490" s="8">
        <v>1314</v>
      </c>
      <c r="F490" s="8" t="s">
        <v>235</v>
      </c>
      <c r="G490" s="8" t="s">
        <v>38</v>
      </c>
      <c r="H490" s="8" t="s">
        <v>48</v>
      </c>
      <c r="I490" s="8" t="s">
        <v>60</v>
      </c>
      <c r="J490" s="8" t="s">
        <v>238</v>
      </c>
      <c r="K490" s="8" t="s">
        <v>33</v>
      </c>
      <c r="L490" s="8" t="s">
        <v>34</v>
      </c>
      <c r="M490" s="8" t="s">
        <v>30</v>
      </c>
      <c r="N490" s="26">
        <v>42413</v>
      </c>
      <c r="O490" s="14">
        <v>2.94</v>
      </c>
      <c r="P490" s="8">
        <v>18</v>
      </c>
      <c r="Q490" s="19">
        <f t="shared" si="40"/>
        <v>52.92</v>
      </c>
      <c r="R490" s="20">
        <v>0.01</v>
      </c>
      <c r="S490" s="29">
        <f t="shared" si="37"/>
        <v>0.5292</v>
      </c>
      <c r="T490" s="20">
        <f t="shared" si="38"/>
        <v>52.390799999999999</v>
      </c>
      <c r="U490" s="21">
        <v>0.81</v>
      </c>
      <c r="V490" s="31">
        <f t="shared" si="39"/>
        <v>53.200800000000001</v>
      </c>
    </row>
    <row r="491" spans="1:22" x14ac:dyDescent="0.3">
      <c r="A491" s="6" t="s">
        <v>239</v>
      </c>
      <c r="B491" s="6">
        <f t="shared" si="36"/>
        <v>2</v>
      </c>
      <c r="C491" s="7">
        <v>42478</v>
      </c>
      <c r="D491" s="8" t="s">
        <v>240</v>
      </c>
      <c r="E491" s="8">
        <v>133134</v>
      </c>
      <c r="F491" s="8" t="s">
        <v>241</v>
      </c>
      <c r="G491" s="8" t="s">
        <v>24</v>
      </c>
      <c r="H491" s="8" t="s">
        <v>99</v>
      </c>
      <c r="I491" s="8" t="s">
        <v>26</v>
      </c>
      <c r="J491" s="8" t="s">
        <v>242</v>
      </c>
      <c r="K491" s="8" t="s">
        <v>243</v>
      </c>
      <c r="L491" s="8" t="s">
        <v>106</v>
      </c>
      <c r="M491" s="8" t="s">
        <v>30</v>
      </c>
      <c r="N491" s="26">
        <v>42479</v>
      </c>
      <c r="O491" s="14">
        <v>136.97999999999999</v>
      </c>
      <c r="P491" s="8">
        <v>14</v>
      </c>
      <c r="Q491" s="19">
        <f t="shared" si="40"/>
        <v>1917.7199999999998</v>
      </c>
      <c r="R491" s="20">
        <v>0</v>
      </c>
      <c r="S491" s="29">
        <f t="shared" si="37"/>
        <v>0</v>
      </c>
      <c r="T491" s="20">
        <f t="shared" si="38"/>
        <v>1917.7199999999998</v>
      </c>
      <c r="U491" s="21">
        <v>24.49</v>
      </c>
      <c r="V491" s="31">
        <f t="shared" si="39"/>
        <v>1942.2099999999998</v>
      </c>
    </row>
    <row r="492" spans="1:22" x14ac:dyDescent="0.3">
      <c r="A492" s="6" t="s">
        <v>244</v>
      </c>
      <c r="B492" s="6">
        <f t="shared" si="36"/>
        <v>2</v>
      </c>
      <c r="C492" s="7">
        <v>42478</v>
      </c>
      <c r="D492" s="8" t="s">
        <v>240</v>
      </c>
      <c r="E492" s="8">
        <v>133134</v>
      </c>
      <c r="F492" s="8" t="s">
        <v>241</v>
      </c>
      <c r="G492" s="8" t="s">
        <v>24</v>
      </c>
      <c r="H492" s="8" t="s">
        <v>99</v>
      </c>
      <c r="I492" s="8" t="s">
        <v>26</v>
      </c>
      <c r="J492" s="8" t="s">
        <v>152</v>
      </c>
      <c r="K492" s="8" t="s">
        <v>33</v>
      </c>
      <c r="L492" s="8" t="s">
        <v>34</v>
      </c>
      <c r="M492" s="8" t="s">
        <v>30</v>
      </c>
      <c r="N492" s="26">
        <v>42480</v>
      </c>
      <c r="O492" s="14">
        <v>1.48</v>
      </c>
      <c r="P492" s="8">
        <v>3</v>
      </c>
      <c r="Q492" s="19">
        <f t="shared" si="40"/>
        <v>4.4399999999999995</v>
      </c>
      <c r="R492" s="20">
        <v>0.1</v>
      </c>
      <c r="S492" s="29">
        <f t="shared" si="37"/>
        <v>0.44399999999999995</v>
      </c>
      <c r="T492" s="20">
        <f t="shared" si="38"/>
        <v>3.9959999999999996</v>
      </c>
      <c r="U492" s="21">
        <v>0.7</v>
      </c>
      <c r="V492" s="31">
        <f t="shared" si="39"/>
        <v>4.6959999999999997</v>
      </c>
    </row>
    <row r="493" spans="1:22" x14ac:dyDescent="0.3">
      <c r="A493" s="6" t="s">
        <v>245</v>
      </c>
      <c r="B493" s="6">
        <f t="shared" si="36"/>
        <v>2</v>
      </c>
      <c r="C493" s="7">
        <v>42491</v>
      </c>
      <c r="D493" s="8" t="s">
        <v>246</v>
      </c>
      <c r="E493" s="8">
        <v>135136</v>
      </c>
      <c r="F493" s="8" t="s">
        <v>247</v>
      </c>
      <c r="G493" s="8" t="s">
        <v>58</v>
      </c>
      <c r="H493" s="8" t="s">
        <v>59</v>
      </c>
      <c r="I493" s="8" t="s">
        <v>49</v>
      </c>
      <c r="J493" s="8" t="s">
        <v>68</v>
      </c>
      <c r="K493" s="8" t="s">
        <v>33</v>
      </c>
      <c r="L493" s="8" t="s">
        <v>54</v>
      </c>
      <c r="M493" s="8" t="s">
        <v>30</v>
      </c>
      <c r="N493" s="26">
        <v>42493</v>
      </c>
      <c r="O493" s="14">
        <v>2.88</v>
      </c>
      <c r="P493" s="8">
        <v>45</v>
      </c>
      <c r="Q493" s="19">
        <f t="shared" si="40"/>
        <v>129.6</v>
      </c>
      <c r="R493" s="20">
        <v>0.02</v>
      </c>
      <c r="S493" s="29">
        <f t="shared" si="37"/>
        <v>2.5920000000000001</v>
      </c>
      <c r="T493" s="20">
        <f t="shared" si="38"/>
        <v>127.008</v>
      </c>
      <c r="U493" s="21">
        <v>1.49</v>
      </c>
      <c r="V493" s="31">
        <f t="shared" si="39"/>
        <v>128.49799999999999</v>
      </c>
    </row>
    <row r="494" spans="1:22" x14ac:dyDescent="0.3">
      <c r="A494" s="6" t="s">
        <v>248</v>
      </c>
      <c r="B494" s="6">
        <f t="shared" si="36"/>
        <v>2</v>
      </c>
      <c r="C494" s="7">
        <v>42491</v>
      </c>
      <c r="D494" s="8" t="s">
        <v>246</v>
      </c>
      <c r="E494" s="8">
        <v>135136</v>
      </c>
      <c r="F494" s="8" t="s">
        <v>247</v>
      </c>
      <c r="G494" s="8" t="s">
        <v>58</v>
      </c>
      <c r="H494" s="8" t="s">
        <v>59</v>
      </c>
      <c r="I494" s="8" t="s">
        <v>49</v>
      </c>
      <c r="J494" s="8" t="s">
        <v>249</v>
      </c>
      <c r="K494" s="8" t="s">
        <v>33</v>
      </c>
      <c r="L494" s="8" t="s">
        <v>54</v>
      </c>
      <c r="M494" s="8" t="s">
        <v>30</v>
      </c>
      <c r="N494" s="26">
        <v>42492</v>
      </c>
      <c r="O494" s="14">
        <v>10.89</v>
      </c>
      <c r="P494" s="8">
        <v>39</v>
      </c>
      <c r="Q494" s="19">
        <f t="shared" si="40"/>
        <v>424.71000000000004</v>
      </c>
      <c r="R494" s="20">
        <v>0.06</v>
      </c>
      <c r="S494" s="29">
        <f t="shared" si="37"/>
        <v>25.482600000000001</v>
      </c>
      <c r="T494" s="20">
        <f t="shared" si="38"/>
        <v>399.22740000000005</v>
      </c>
      <c r="U494" s="21">
        <v>4.5</v>
      </c>
      <c r="V494" s="31">
        <f t="shared" si="39"/>
        <v>403.72740000000005</v>
      </c>
    </row>
    <row r="495" spans="1:22" x14ac:dyDescent="0.3">
      <c r="A495" s="6" t="s">
        <v>250</v>
      </c>
      <c r="B495" s="6">
        <f t="shared" si="36"/>
        <v>2</v>
      </c>
      <c r="C495" s="7">
        <v>42492</v>
      </c>
      <c r="D495" s="8" t="s">
        <v>251</v>
      </c>
      <c r="E495" s="8">
        <v>137138</v>
      </c>
      <c r="F495" s="8" t="s">
        <v>252</v>
      </c>
      <c r="G495" s="8" t="s">
        <v>85</v>
      </c>
      <c r="H495" s="8" t="s">
        <v>74</v>
      </c>
      <c r="I495" s="8" t="s">
        <v>136</v>
      </c>
      <c r="J495" s="8" t="s">
        <v>253</v>
      </c>
      <c r="K495" s="8" t="s">
        <v>243</v>
      </c>
      <c r="L495" s="8" t="s">
        <v>29</v>
      </c>
      <c r="M495" s="8" t="s">
        <v>30</v>
      </c>
      <c r="N495" s="26">
        <v>42494</v>
      </c>
      <c r="O495" s="14">
        <v>12.22</v>
      </c>
      <c r="P495" s="8">
        <v>46</v>
      </c>
      <c r="Q495" s="19">
        <f t="shared" si="40"/>
        <v>562.12</v>
      </c>
      <c r="R495" s="20">
        <v>0.06</v>
      </c>
      <c r="S495" s="29">
        <f t="shared" si="37"/>
        <v>33.727199999999996</v>
      </c>
      <c r="T495" s="20">
        <f t="shared" si="38"/>
        <v>528.39279999999997</v>
      </c>
      <c r="U495" s="21">
        <v>2.85</v>
      </c>
      <c r="V495" s="31">
        <f t="shared" si="39"/>
        <v>531.24279999999999</v>
      </c>
    </row>
    <row r="496" spans="1:22" x14ac:dyDescent="0.3">
      <c r="A496" s="6" t="s">
        <v>254</v>
      </c>
      <c r="B496" s="6">
        <f t="shared" si="36"/>
        <v>2</v>
      </c>
      <c r="C496" s="7">
        <v>42492</v>
      </c>
      <c r="D496" s="8" t="s">
        <v>251</v>
      </c>
      <c r="E496" s="8">
        <v>137138</v>
      </c>
      <c r="F496" s="8" t="s">
        <v>252</v>
      </c>
      <c r="G496" s="8" t="s">
        <v>85</v>
      </c>
      <c r="H496" s="8" t="s">
        <v>74</v>
      </c>
      <c r="I496" s="8" t="s">
        <v>136</v>
      </c>
      <c r="J496" s="8" t="s">
        <v>112</v>
      </c>
      <c r="K496" s="8" t="s">
        <v>33</v>
      </c>
      <c r="L496" s="8" t="s">
        <v>54</v>
      </c>
      <c r="M496" s="8" t="s">
        <v>30</v>
      </c>
      <c r="N496" s="26">
        <v>42493</v>
      </c>
      <c r="O496" s="14">
        <v>3.58</v>
      </c>
      <c r="P496" s="8">
        <v>8</v>
      </c>
      <c r="Q496" s="19">
        <f t="shared" si="40"/>
        <v>28.64</v>
      </c>
      <c r="R496" s="20">
        <v>0.09</v>
      </c>
      <c r="S496" s="29">
        <f t="shared" si="37"/>
        <v>2.5775999999999999</v>
      </c>
      <c r="T496" s="20">
        <f t="shared" si="38"/>
        <v>26.0624</v>
      </c>
      <c r="U496" s="21">
        <v>5.47</v>
      </c>
      <c r="V496" s="31">
        <f t="shared" si="39"/>
        <v>31.532399999999999</v>
      </c>
    </row>
    <row r="497" spans="1:22" x14ac:dyDescent="0.3">
      <c r="A497" s="6" t="s">
        <v>255</v>
      </c>
      <c r="B497" s="6">
        <f t="shared" si="36"/>
        <v>2</v>
      </c>
      <c r="C497" s="7">
        <v>42535</v>
      </c>
      <c r="D497" s="8" t="s">
        <v>256</v>
      </c>
      <c r="E497" s="8">
        <v>139140</v>
      </c>
      <c r="F497" s="8" t="s">
        <v>257</v>
      </c>
      <c r="G497" s="8" t="s">
        <v>85</v>
      </c>
      <c r="H497" s="8" t="s">
        <v>48</v>
      </c>
      <c r="I497" s="8" t="s">
        <v>40</v>
      </c>
      <c r="J497" s="8" t="s">
        <v>50</v>
      </c>
      <c r="K497" s="8" t="s">
        <v>28</v>
      </c>
      <c r="L497" s="8" t="s">
        <v>51</v>
      </c>
      <c r="M497" s="8" t="s">
        <v>30</v>
      </c>
      <c r="N497" s="26">
        <v>42535</v>
      </c>
      <c r="O497" s="14">
        <v>20.99</v>
      </c>
      <c r="P497" s="8">
        <v>2</v>
      </c>
      <c r="Q497" s="19">
        <f t="shared" si="40"/>
        <v>41.98</v>
      </c>
      <c r="R497" s="20">
        <v>0.01</v>
      </c>
      <c r="S497" s="29">
        <f t="shared" si="37"/>
        <v>0.41979999999999995</v>
      </c>
      <c r="T497" s="20">
        <f t="shared" si="38"/>
        <v>41.560199999999995</v>
      </c>
      <c r="U497" s="21">
        <v>4.8099999999999996</v>
      </c>
      <c r="V497" s="31">
        <f t="shared" si="39"/>
        <v>46.370199999999997</v>
      </c>
    </row>
    <row r="498" spans="1:22" x14ac:dyDescent="0.3">
      <c r="A498" s="6" t="s">
        <v>258</v>
      </c>
      <c r="B498" s="6">
        <f t="shared" si="36"/>
        <v>2</v>
      </c>
      <c r="C498" s="7">
        <v>42535</v>
      </c>
      <c r="D498" s="8" t="s">
        <v>259</v>
      </c>
      <c r="E498" s="8">
        <v>14</v>
      </c>
      <c r="F498" s="8" t="s">
        <v>260</v>
      </c>
      <c r="G498" s="8" t="s">
        <v>85</v>
      </c>
      <c r="H498" s="8" t="s">
        <v>39</v>
      </c>
      <c r="I498" s="8" t="s">
        <v>136</v>
      </c>
      <c r="J498" s="8" t="s">
        <v>261</v>
      </c>
      <c r="K498" s="8" t="s">
        <v>28</v>
      </c>
      <c r="L498" s="8" t="s">
        <v>54</v>
      </c>
      <c r="M498" s="8" t="s">
        <v>30</v>
      </c>
      <c r="N498" s="26">
        <v>42537</v>
      </c>
      <c r="O498" s="14">
        <v>152.47999999999999</v>
      </c>
      <c r="P498" s="8">
        <v>37</v>
      </c>
      <c r="Q498" s="19">
        <f t="shared" si="40"/>
        <v>5641.7599999999993</v>
      </c>
      <c r="R498" s="20">
        <v>0.1</v>
      </c>
      <c r="S498" s="29">
        <f t="shared" si="37"/>
        <v>564.17599999999993</v>
      </c>
      <c r="T498" s="20">
        <f t="shared" si="38"/>
        <v>5077.5839999999989</v>
      </c>
      <c r="U498" s="21">
        <v>4</v>
      </c>
      <c r="V498" s="31">
        <f t="shared" si="39"/>
        <v>5081.5839999999989</v>
      </c>
    </row>
    <row r="499" spans="1:22" x14ac:dyDescent="0.3">
      <c r="A499" s="6" t="s">
        <v>262</v>
      </c>
      <c r="B499" s="6">
        <f t="shared" si="36"/>
        <v>2</v>
      </c>
      <c r="C499" s="7">
        <v>42535</v>
      </c>
      <c r="D499" s="8" t="s">
        <v>259</v>
      </c>
      <c r="E499" s="8">
        <v>14</v>
      </c>
      <c r="F499" s="8" t="s">
        <v>260</v>
      </c>
      <c r="G499" s="8" t="s">
        <v>85</v>
      </c>
      <c r="H499" s="8" t="s">
        <v>39</v>
      </c>
      <c r="I499" s="8" t="s">
        <v>136</v>
      </c>
      <c r="J499" s="8" t="s">
        <v>263</v>
      </c>
      <c r="K499" s="8" t="s">
        <v>28</v>
      </c>
      <c r="L499" s="8" t="s">
        <v>29</v>
      </c>
      <c r="M499" s="8" t="s">
        <v>30</v>
      </c>
      <c r="N499" s="26">
        <v>42537</v>
      </c>
      <c r="O499" s="14">
        <v>35.409999999999997</v>
      </c>
      <c r="P499" s="8">
        <v>30</v>
      </c>
      <c r="Q499" s="19">
        <f t="shared" si="40"/>
        <v>1062.3</v>
      </c>
      <c r="R499" s="20">
        <v>0.08</v>
      </c>
      <c r="S499" s="29">
        <f t="shared" si="37"/>
        <v>84.983999999999995</v>
      </c>
      <c r="T499" s="20">
        <f t="shared" si="38"/>
        <v>977.31599999999992</v>
      </c>
      <c r="U499" s="21">
        <v>1.99</v>
      </c>
      <c r="V499" s="31">
        <f t="shared" si="39"/>
        <v>979.30599999999993</v>
      </c>
    </row>
    <row r="500" spans="1:22" x14ac:dyDescent="0.3">
      <c r="A500" s="6" t="s">
        <v>264</v>
      </c>
      <c r="B500" s="6">
        <f t="shared" si="36"/>
        <v>2</v>
      </c>
      <c r="C500" s="7">
        <v>42535</v>
      </c>
      <c r="D500" s="8" t="s">
        <v>256</v>
      </c>
      <c r="E500" s="8">
        <v>139140</v>
      </c>
      <c r="F500" s="8" t="s">
        <v>257</v>
      </c>
      <c r="G500" s="8" t="s">
        <v>85</v>
      </c>
      <c r="H500" s="8" t="s">
        <v>48</v>
      </c>
      <c r="I500" s="8" t="s">
        <v>40</v>
      </c>
      <c r="J500" s="8" t="s">
        <v>265</v>
      </c>
      <c r="K500" s="8" t="s">
        <v>33</v>
      </c>
      <c r="L500" s="8" t="s">
        <v>34</v>
      </c>
      <c r="M500" s="8" t="s">
        <v>30</v>
      </c>
      <c r="N500" s="26">
        <v>42540</v>
      </c>
      <c r="O500" s="14">
        <v>1.1399999999999999</v>
      </c>
      <c r="P500" s="8">
        <v>31</v>
      </c>
      <c r="Q500" s="19">
        <f t="shared" si="40"/>
        <v>35.339999999999996</v>
      </c>
      <c r="R500" s="20">
        <v>7.0000000000000007E-2</v>
      </c>
      <c r="S500" s="29">
        <f t="shared" si="37"/>
        <v>2.4737999999999998</v>
      </c>
      <c r="T500" s="20">
        <f t="shared" si="38"/>
        <v>32.866199999999999</v>
      </c>
      <c r="U500" s="21">
        <v>0.7</v>
      </c>
      <c r="V500" s="31">
        <f t="shared" si="39"/>
        <v>33.566200000000002</v>
      </c>
    </row>
    <row r="501" spans="1:22" x14ac:dyDescent="0.3">
      <c r="A501" s="6" t="s">
        <v>266</v>
      </c>
      <c r="B501" s="6">
        <f t="shared" si="36"/>
        <v>2</v>
      </c>
      <c r="C501" s="7">
        <v>42541</v>
      </c>
      <c r="D501" s="8" t="s">
        <v>267</v>
      </c>
      <c r="E501" s="8">
        <v>14</v>
      </c>
      <c r="F501" s="8" t="s">
        <v>268</v>
      </c>
      <c r="G501" s="8" t="s">
        <v>58</v>
      </c>
      <c r="H501" s="8" t="s">
        <v>25</v>
      </c>
      <c r="I501" s="8" t="s">
        <v>26</v>
      </c>
      <c r="J501" s="8" t="s">
        <v>269</v>
      </c>
      <c r="K501" s="8" t="s">
        <v>33</v>
      </c>
      <c r="L501" s="8" t="s">
        <v>34</v>
      </c>
      <c r="M501" s="8" t="s">
        <v>42</v>
      </c>
      <c r="N501" s="26">
        <v>42541</v>
      </c>
      <c r="O501" s="14">
        <v>2.78</v>
      </c>
      <c r="P501" s="8">
        <v>47</v>
      </c>
      <c r="Q501" s="19">
        <f t="shared" si="40"/>
        <v>130.66</v>
      </c>
      <c r="R501" s="20">
        <v>0.1</v>
      </c>
      <c r="S501" s="29">
        <f t="shared" si="37"/>
        <v>13.066000000000001</v>
      </c>
      <c r="T501" s="20">
        <f t="shared" si="38"/>
        <v>117.59399999999999</v>
      </c>
      <c r="U501" s="21">
        <v>1.34</v>
      </c>
      <c r="V501" s="31">
        <f t="shared" si="39"/>
        <v>118.934</v>
      </c>
    </row>
    <row r="502" spans="1:22" x14ac:dyDescent="0.3">
      <c r="A502" s="6" t="s">
        <v>270</v>
      </c>
      <c r="B502" s="6">
        <f t="shared" si="36"/>
        <v>2</v>
      </c>
      <c r="C502" s="7">
        <v>42541</v>
      </c>
      <c r="D502" s="8" t="s">
        <v>267</v>
      </c>
      <c r="E502" s="8">
        <v>14</v>
      </c>
      <c r="F502" s="8" t="s">
        <v>268</v>
      </c>
      <c r="G502" s="8" t="s">
        <v>58</v>
      </c>
      <c r="H502" s="8" t="s">
        <v>25</v>
      </c>
      <c r="I502" s="8" t="s">
        <v>26</v>
      </c>
      <c r="J502" s="8" t="s">
        <v>132</v>
      </c>
      <c r="K502" s="8" t="s">
        <v>33</v>
      </c>
      <c r="L502" s="8" t="s">
        <v>34</v>
      </c>
      <c r="M502" s="8" t="s">
        <v>30</v>
      </c>
      <c r="N502" s="26">
        <v>42544</v>
      </c>
      <c r="O502" s="14">
        <v>2.62</v>
      </c>
      <c r="P502" s="8">
        <v>30</v>
      </c>
      <c r="Q502" s="19">
        <f t="shared" si="40"/>
        <v>78.600000000000009</v>
      </c>
      <c r="R502" s="20">
        <v>0.05</v>
      </c>
      <c r="S502" s="29">
        <f t="shared" si="37"/>
        <v>3.9300000000000006</v>
      </c>
      <c r="T502" s="20">
        <f t="shared" si="38"/>
        <v>74.67</v>
      </c>
      <c r="U502" s="21">
        <v>0.8</v>
      </c>
      <c r="V502" s="31">
        <f t="shared" si="39"/>
        <v>75.47</v>
      </c>
    </row>
    <row r="503" spans="1:22" x14ac:dyDescent="0.3">
      <c r="A503" s="6" t="s">
        <v>271</v>
      </c>
      <c r="B503" s="6">
        <f t="shared" si="36"/>
        <v>3</v>
      </c>
      <c r="C503" s="7">
        <v>42606</v>
      </c>
      <c r="D503" s="8" t="s">
        <v>272</v>
      </c>
      <c r="E503" s="8">
        <v>141142</v>
      </c>
      <c r="F503" s="8" t="s">
        <v>273</v>
      </c>
      <c r="G503" s="8" t="s">
        <v>85</v>
      </c>
      <c r="H503" s="8" t="s">
        <v>67</v>
      </c>
      <c r="I503" s="8" t="s">
        <v>40</v>
      </c>
      <c r="J503" s="8" t="s">
        <v>105</v>
      </c>
      <c r="K503" s="8" t="s">
        <v>28</v>
      </c>
      <c r="L503" s="8" t="s">
        <v>106</v>
      </c>
      <c r="M503" s="8" t="s">
        <v>30</v>
      </c>
      <c r="N503" s="26">
        <v>42615</v>
      </c>
      <c r="O503" s="14">
        <v>599.99</v>
      </c>
      <c r="P503" s="8">
        <v>16</v>
      </c>
      <c r="Q503" s="19">
        <f t="shared" si="40"/>
        <v>9599.84</v>
      </c>
      <c r="R503" s="20">
        <v>0</v>
      </c>
      <c r="S503" s="29">
        <f t="shared" si="37"/>
        <v>0</v>
      </c>
      <c r="T503" s="20">
        <f t="shared" si="38"/>
        <v>9599.84</v>
      </c>
      <c r="U503" s="21">
        <v>24.49</v>
      </c>
      <c r="V503" s="31">
        <f t="shared" si="39"/>
        <v>9624.33</v>
      </c>
    </row>
    <row r="504" spans="1:22" x14ac:dyDescent="0.3">
      <c r="A504" s="6" t="s">
        <v>274</v>
      </c>
      <c r="B504" s="6">
        <f t="shared" si="36"/>
        <v>3</v>
      </c>
      <c r="C504" s="7">
        <v>42606</v>
      </c>
      <c r="D504" s="8" t="s">
        <v>272</v>
      </c>
      <c r="E504" s="8">
        <v>141142</v>
      </c>
      <c r="F504" s="8" t="s">
        <v>273</v>
      </c>
      <c r="G504" s="8" t="s">
        <v>85</v>
      </c>
      <c r="H504" s="8" t="s">
        <v>67</v>
      </c>
      <c r="I504" s="8" t="s">
        <v>40</v>
      </c>
      <c r="J504" s="8" t="s">
        <v>206</v>
      </c>
      <c r="K504" s="8" t="s">
        <v>33</v>
      </c>
      <c r="L504" s="8" t="s">
        <v>34</v>
      </c>
      <c r="M504" s="8" t="s">
        <v>30</v>
      </c>
      <c r="N504" s="26">
        <v>42615</v>
      </c>
      <c r="O504" s="14">
        <v>19.84</v>
      </c>
      <c r="P504" s="8">
        <v>39</v>
      </c>
      <c r="Q504" s="19">
        <f t="shared" si="40"/>
        <v>773.76</v>
      </c>
      <c r="R504" s="20">
        <v>0.01</v>
      </c>
      <c r="S504" s="29">
        <f t="shared" si="37"/>
        <v>7.7376000000000005</v>
      </c>
      <c r="T504" s="20">
        <f t="shared" si="38"/>
        <v>766.02239999999995</v>
      </c>
      <c r="U504" s="21">
        <v>4.0999999999999996</v>
      </c>
      <c r="V504" s="31">
        <f t="shared" si="39"/>
        <v>770.12239999999997</v>
      </c>
    </row>
    <row r="505" spans="1:22" x14ac:dyDescent="0.3">
      <c r="A505" s="6" t="s">
        <v>275</v>
      </c>
      <c r="B505" s="6">
        <f t="shared" si="36"/>
        <v>3</v>
      </c>
      <c r="C505" s="7">
        <v>42631</v>
      </c>
      <c r="D505" s="8" t="s">
        <v>208</v>
      </c>
      <c r="E505" s="8">
        <v>127128</v>
      </c>
      <c r="F505" s="8" t="s">
        <v>209</v>
      </c>
      <c r="G505" s="8" t="s">
        <v>38</v>
      </c>
      <c r="H505" s="8" t="s">
        <v>92</v>
      </c>
      <c r="I505" s="8" t="s">
        <v>26</v>
      </c>
      <c r="J505" s="8" t="s">
        <v>86</v>
      </c>
      <c r="K505" s="8" t="s">
        <v>33</v>
      </c>
      <c r="L505" s="8" t="s">
        <v>54</v>
      </c>
      <c r="M505" s="8" t="s">
        <v>30</v>
      </c>
      <c r="N505" s="26">
        <v>42633</v>
      </c>
      <c r="O505" s="14">
        <v>8.6</v>
      </c>
      <c r="P505" s="8">
        <v>2</v>
      </c>
      <c r="Q505" s="19">
        <f t="shared" si="40"/>
        <v>17.2</v>
      </c>
      <c r="R505" s="20">
        <v>0.03</v>
      </c>
      <c r="S505" s="29">
        <f t="shared" si="37"/>
        <v>0.51600000000000001</v>
      </c>
      <c r="T505" s="20">
        <f t="shared" si="38"/>
        <v>16.683999999999997</v>
      </c>
      <c r="U505" s="21">
        <v>6.19</v>
      </c>
      <c r="V505" s="31">
        <f t="shared" si="39"/>
        <v>22.873999999999999</v>
      </c>
    </row>
    <row r="506" spans="1:22" x14ac:dyDescent="0.3">
      <c r="A506" s="6" t="s">
        <v>276</v>
      </c>
      <c r="B506" s="6">
        <f t="shared" si="36"/>
        <v>3</v>
      </c>
      <c r="C506" s="7">
        <v>42631</v>
      </c>
      <c r="D506" s="8" t="s">
        <v>208</v>
      </c>
      <c r="E506" s="8">
        <v>127128</v>
      </c>
      <c r="F506" s="8" t="s">
        <v>209</v>
      </c>
      <c r="G506" s="8" t="s">
        <v>38</v>
      </c>
      <c r="H506" s="8" t="s">
        <v>92</v>
      </c>
      <c r="I506" s="8" t="s">
        <v>26</v>
      </c>
      <c r="J506" s="8" t="s">
        <v>76</v>
      </c>
      <c r="K506" s="8" t="s">
        <v>33</v>
      </c>
      <c r="L506" s="8" t="s">
        <v>54</v>
      </c>
      <c r="M506" s="8" t="s">
        <v>30</v>
      </c>
      <c r="N506" s="26">
        <v>42632</v>
      </c>
      <c r="O506" s="14">
        <v>165.2</v>
      </c>
      <c r="P506" s="8">
        <v>10</v>
      </c>
      <c r="Q506" s="19">
        <f t="shared" si="40"/>
        <v>1652</v>
      </c>
      <c r="R506" s="20">
        <v>0.08</v>
      </c>
      <c r="S506" s="29">
        <f t="shared" si="37"/>
        <v>132.16</v>
      </c>
      <c r="T506" s="20">
        <f t="shared" si="38"/>
        <v>1519.84</v>
      </c>
      <c r="U506" s="21">
        <v>19.989999999999998</v>
      </c>
      <c r="V506" s="31">
        <f t="shared" si="39"/>
        <v>1539.83</v>
      </c>
    </row>
    <row r="507" spans="1:22" x14ac:dyDescent="0.3">
      <c r="A507" s="6" t="s">
        <v>277</v>
      </c>
      <c r="B507" s="6">
        <f t="shared" si="36"/>
        <v>3</v>
      </c>
      <c r="C507" s="7">
        <v>42639</v>
      </c>
      <c r="D507" s="8" t="s">
        <v>278</v>
      </c>
      <c r="E507" s="8">
        <v>143144</v>
      </c>
      <c r="F507" s="8" t="s">
        <v>279</v>
      </c>
      <c r="G507" s="8" t="s">
        <v>38</v>
      </c>
      <c r="H507" s="8" t="s">
        <v>25</v>
      </c>
      <c r="I507" s="8" t="s">
        <v>26</v>
      </c>
      <c r="J507" s="8" t="s">
        <v>171</v>
      </c>
      <c r="K507" s="8" t="s">
        <v>33</v>
      </c>
      <c r="L507" s="8" t="s">
        <v>54</v>
      </c>
      <c r="M507" s="8" t="s">
        <v>30</v>
      </c>
      <c r="N507" s="26">
        <v>42641</v>
      </c>
      <c r="O507" s="14">
        <v>22.38</v>
      </c>
      <c r="P507" s="8">
        <v>34</v>
      </c>
      <c r="Q507" s="19">
        <f t="shared" si="40"/>
        <v>760.92</v>
      </c>
      <c r="R507" s="20">
        <v>7.0000000000000007E-2</v>
      </c>
      <c r="S507" s="29">
        <f t="shared" si="37"/>
        <v>53.264400000000002</v>
      </c>
      <c r="T507" s="20">
        <f t="shared" si="38"/>
        <v>707.65559999999994</v>
      </c>
      <c r="U507" s="21">
        <v>15.1</v>
      </c>
      <c r="V507" s="31">
        <f t="shared" si="39"/>
        <v>722.75559999999996</v>
      </c>
    </row>
    <row r="508" spans="1:22" x14ac:dyDescent="0.3">
      <c r="A508" s="6" t="s">
        <v>280</v>
      </c>
      <c r="B508" s="6">
        <f t="shared" si="36"/>
        <v>3</v>
      </c>
      <c r="C508" s="7">
        <v>42639</v>
      </c>
      <c r="D508" s="8" t="s">
        <v>278</v>
      </c>
      <c r="E508" s="8">
        <v>143144</v>
      </c>
      <c r="F508" s="8" t="s">
        <v>279</v>
      </c>
      <c r="G508" s="8" t="s">
        <v>38</v>
      </c>
      <c r="H508" s="8" t="s">
        <v>25</v>
      </c>
      <c r="I508" s="8" t="s">
        <v>26</v>
      </c>
      <c r="J508" s="8" t="s">
        <v>281</v>
      </c>
      <c r="K508" s="8" t="s">
        <v>28</v>
      </c>
      <c r="L508" s="8" t="s">
        <v>54</v>
      </c>
      <c r="M508" s="8" t="s">
        <v>42</v>
      </c>
      <c r="N508" s="26">
        <v>42640</v>
      </c>
      <c r="O508" s="14">
        <v>29.99</v>
      </c>
      <c r="P508" s="8">
        <v>36</v>
      </c>
      <c r="Q508" s="19">
        <f t="shared" si="40"/>
        <v>1079.6399999999999</v>
      </c>
      <c r="R508" s="20">
        <v>0.03</v>
      </c>
      <c r="S508" s="29">
        <f t="shared" si="37"/>
        <v>32.389199999999995</v>
      </c>
      <c r="T508" s="20">
        <f t="shared" si="38"/>
        <v>1047.2507999999998</v>
      </c>
      <c r="U508" s="21">
        <v>5.5</v>
      </c>
      <c r="V508" s="31">
        <f t="shared" si="39"/>
        <v>1052.7507999999998</v>
      </c>
    </row>
    <row r="509" spans="1:22" x14ac:dyDescent="0.3">
      <c r="A509" s="6" t="s">
        <v>282</v>
      </c>
      <c r="B509" s="6">
        <f t="shared" si="36"/>
        <v>4</v>
      </c>
      <c r="C509" s="7">
        <v>42670</v>
      </c>
      <c r="D509" s="8" t="s">
        <v>83</v>
      </c>
      <c r="E509" s="8">
        <v>101102</v>
      </c>
      <c r="F509" s="8" t="s">
        <v>84</v>
      </c>
      <c r="G509" s="8" t="s">
        <v>85</v>
      </c>
      <c r="H509" s="8" t="s">
        <v>74</v>
      </c>
      <c r="I509" s="8" t="s">
        <v>26</v>
      </c>
      <c r="J509" s="8" t="s">
        <v>283</v>
      </c>
      <c r="K509" s="8" t="s">
        <v>28</v>
      </c>
      <c r="L509" s="8" t="s">
        <v>54</v>
      </c>
      <c r="M509" s="8" t="s">
        <v>30</v>
      </c>
      <c r="N509" s="26">
        <v>42671</v>
      </c>
      <c r="O509" s="14">
        <v>100.97</v>
      </c>
      <c r="P509" s="8">
        <v>29</v>
      </c>
      <c r="Q509" s="19">
        <f t="shared" si="40"/>
        <v>2928.13</v>
      </c>
      <c r="R509" s="20">
        <v>0.05</v>
      </c>
      <c r="S509" s="29">
        <f t="shared" si="37"/>
        <v>146.40650000000002</v>
      </c>
      <c r="T509" s="20">
        <f t="shared" si="38"/>
        <v>2781.7235000000001</v>
      </c>
      <c r="U509" s="21">
        <v>7.18</v>
      </c>
      <c r="V509" s="31">
        <f t="shared" si="39"/>
        <v>2788.9034999999999</v>
      </c>
    </row>
    <row r="510" spans="1:22" x14ac:dyDescent="0.3">
      <c r="A510" s="6" t="s">
        <v>284</v>
      </c>
      <c r="B510" s="6">
        <f t="shared" si="36"/>
        <v>4</v>
      </c>
      <c r="C510" s="7">
        <v>42670</v>
      </c>
      <c r="D510" s="8" t="s">
        <v>83</v>
      </c>
      <c r="E510" s="8">
        <v>101102</v>
      </c>
      <c r="F510" s="8" t="s">
        <v>84</v>
      </c>
      <c r="G510" s="8" t="s">
        <v>85</v>
      </c>
      <c r="H510" s="8" t="s">
        <v>74</v>
      </c>
      <c r="I510" s="8" t="s">
        <v>26</v>
      </c>
      <c r="J510" s="8" t="s">
        <v>108</v>
      </c>
      <c r="K510" s="8" t="s">
        <v>33</v>
      </c>
      <c r="L510" s="8" t="s">
        <v>34</v>
      </c>
      <c r="M510" s="8" t="s">
        <v>30</v>
      </c>
      <c r="N510" s="26">
        <v>42670</v>
      </c>
      <c r="O510" s="14">
        <v>3.98</v>
      </c>
      <c r="P510" s="8">
        <v>4</v>
      </c>
      <c r="Q510" s="19">
        <f t="shared" si="40"/>
        <v>15.92</v>
      </c>
      <c r="R510" s="20">
        <v>0.09</v>
      </c>
      <c r="S510" s="29">
        <f t="shared" si="37"/>
        <v>1.4327999999999999</v>
      </c>
      <c r="T510" s="20">
        <f t="shared" si="38"/>
        <v>14.4872</v>
      </c>
      <c r="U510" s="21">
        <v>2.97</v>
      </c>
      <c r="V510" s="31">
        <f t="shared" si="39"/>
        <v>17.4572</v>
      </c>
    </row>
    <row r="511" spans="1:22" x14ac:dyDescent="0.3">
      <c r="A511" s="6" t="s">
        <v>285</v>
      </c>
      <c r="B511" s="6">
        <f t="shared" si="36"/>
        <v>4</v>
      </c>
      <c r="C511" s="7">
        <v>42712</v>
      </c>
      <c r="D511" s="8" t="s">
        <v>286</v>
      </c>
      <c r="E511" s="8">
        <v>145146</v>
      </c>
      <c r="F511" s="8" t="s">
        <v>287</v>
      </c>
      <c r="G511" s="8" t="s">
        <v>38</v>
      </c>
      <c r="H511" s="8" t="s">
        <v>288</v>
      </c>
      <c r="I511" s="8" t="s">
        <v>40</v>
      </c>
      <c r="J511" s="8" t="s">
        <v>289</v>
      </c>
      <c r="K511" s="8" t="s">
        <v>33</v>
      </c>
      <c r="L511" s="8" t="s">
        <v>54</v>
      </c>
      <c r="M511" s="8" t="s">
        <v>30</v>
      </c>
      <c r="N511" s="26">
        <v>42719</v>
      </c>
      <c r="O511" s="14">
        <v>7.28</v>
      </c>
      <c r="P511" s="8">
        <v>18</v>
      </c>
      <c r="Q511" s="19">
        <f t="shared" si="40"/>
        <v>131.04</v>
      </c>
      <c r="R511" s="20">
        <v>0.09</v>
      </c>
      <c r="S511" s="29">
        <f t="shared" si="37"/>
        <v>11.7936</v>
      </c>
      <c r="T511" s="20">
        <f t="shared" si="38"/>
        <v>119.24639999999999</v>
      </c>
      <c r="U511" s="21">
        <v>11.15</v>
      </c>
      <c r="V511" s="31">
        <f t="shared" si="39"/>
        <v>130.3964</v>
      </c>
    </row>
    <row r="512" spans="1:22" x14ac:dyDescent="0.3">
      <c r="A512" s="6" t="s">
        <v>290</v>
      </c>
      <c r="B512" s="6">
        <f t="shared" si="36"/>
        <v>4</v>
      </c>
      <c r="C512" s="7">
        <v>42712</v>
      </c>
      <c r="D512" s="8" t="s">
        <v>286</v>
      </c>
      <c r="E512" s="8">
        <v>145146</v>
      </c>
      <c r="F512" s="8" t="s">
        <v>287</v>
      </c>
      <c r="G512" s="8" t="s">
        <v>38</v>
      </c>
      <c r="H512" s="8" t="s">
        <v>288</v>
      </c>
      <c r="I512" s="8" t="s">
        <v>40</v>
      </c>
      <c r="J512" s="8" t="s">
        <v>265</v>
      </c>
      <c r="K512" s="8" t="s">
        <v>33</v>
      </c>
      <c r="L512" s="8" t="s">
        <v>34</v>
      </c>
      <c r="M512" s="8" t="s">
        <v>30</v>
      </c>
      <c r="N512" s="26">
        <v>42716</v>
      </c>
      <c r="O512" s="14">
        <v>1.1399999999999999</v>
      </c>
      <c r="P512" s="8">
        <v>28</v>
      </c>
      <c r="Q512" s="19">
        <f t="shared" si="40"/>
        <v>31.919999999999998</v>
      </c>
      <c r="R512" s="20">
        <v>0.09</v>
      </c>
      <c r="S512" s="29">
        <f t="shared" si="37"/>
        <v>2.8727999999999998</v>
      </c>
      <c r="T512" s="20">
        <f t="shared" si="38"/>
        <v>29.047199999999997</v>
      </c>
      <c r="U512" s="21">
        <v>0.7</v>
      </c>
      <c r="V512" s="31">
        <f t="shared" si="39"/>
        <v>29.747199999999996</v>
      </c>
    </row>
    <row r="513" spans="1:22" x14ac:dyDescent="0.3">
      <c r="A513" s="5" t="s">
        <v>0</v>
      </c>
      <c r="B513" s="6" t="e">
        <f t="shared" si="36"/>
        <v>#VALUE!</v>
      </c>
      <c r="C513" s="9" t="s">
        <v>1</v>
      </c>
      <c r="D513" s="10" t="s">
        <v>2</v>
      </c>
      <c r="E513" s="10" t="s">
        <v>3</v>
      </c>
      <c r="F513" s="10" t="s">
        <v>4</v>
      </c>
      <c r="G513" s="10" t="s">
        <v>5</v>
      </c>
      <c r="H513" s="10" t="s">
        <v>6</v>
      </c>
      <c r="I513" s="10" t="s">
        <v>7</v>
      </c>
      <c r="J513" s="10" t="s">
        <v>8</v>
      </c>
      <c r="K513" s="10" t="s">
        <v>9</v>
      </c>
      <c r="L513" s="10" t="s">
        <v>10</v>
      </c>
      <c r="M513" s="10" t="s">
        <v>11</v>
      </c>
      <c r="N513" s="27" t="s">
        <v>12</v>
      </c>
      <c r="O513" s="15" t="s">
        <v>13</v>
      </c>
      <c r="P513" s="10" t="s">
        <v>14</v>
      </c>
      <c r="Q513" s="19">
        <f t="shared" si="40"/>
        <v>0</v>
      </c>
      <c r="R513" s="22" t="s">
        <v>16</v>
      </c>
      <c r="S513" s="29">
        <f t="shared" si="37"/>
        <v>0</v>
      </c>
      <c r="T513" s="20">
        <f t="shared" si="38"/>
        <v>0</v>
      </c>
      <c r="U513" s="23" t="s">
        <v>19</v>
      </c>
      <c r="V513" s="31">
        <f t="shared" si="39"/>
        <v>0</v>
      </c>
    </row>
    <row r="514" spans="1:22" x14ac:dyDescent="0.3">
      <c r="A514" s="5" t="s">
        <v>0</v>
      </c>
      <c r="B514" s="6" t="e">
        <f t="shared" si="36"/>
        <v>#VALUE!</v>
      </c>
      <c r="C514" s="9" t="s">
        <v>1</v>
      </c>
      <c r="D514" s="10" t="s">
        <v>2</v>
      </c>
      <c r="E514" s="10" t="s">
        <v>3</v>
      </c>
      <c r="F514" s="10" t="s">
        <v>4</v>
      </c>
      <c r="G514" s="10" t="s">
        <v>5</v>
      </c>
      <c r="H514" s="10" t="s">
        <v>6</v>
      </c>
      <c r="I514" s="10" t="s">
        <v>7</v>
      </c>
      <c r="J514" s="10" t="s">
        <v>8</v>
      </c>
      <c r="K514" s="10" t="s">
        <v>9</v>
      </c>
      <c r="L514" s="10" t="s">
        <v>10</v>
      </c>
      <c r="M514" s="10" t="s">
        <v>11</v>
      </c>
      <c r="N514" s="27" t="s">
        <v>12</v>
      </c>
      <c r="O514" s="15" t="s">
        <v>13</v>
      </c>
      <c r="P514" s="10" t="s">
        <v>14</v>
      </c>
      <c r="Q514" s="19">
        <f t="shared" si="40"/>
        <v>0</v>
      </c>
      <c r="R514" s="22" t="s">
        <v>16</v>
      </c>
      <c r="S514" s="29">
        <f t="shared" si="37"/>
        <v>0</v>
      </c>
      <c r="T514" s="20">
        <f t="shared" si="38"/>
        <v>0</v>
      </c>
      <c r="U514" s="23" t="s">
        <v>19</v>
      </c>
      <c r="V514" s="31">
        <f t="shared" si="39"/>
        <v>0</v>
      </c>
    </row>
    <row r="515" spans="1:22" x14ac:dyDescent="0.3">
      <c r="A515" s="5" t="s">
        <v>0</v>
      </c>
      <c r="B515" s="6" t="e">
        <f t="shared" ref="B515:B521" si="41">INT((MONTH(C515) +2)/3)</f>
        <v>#VALUE!</v>
      </c>
      <c r="C515" s="9" t="s">
        <v>1</v>
      </c>
      <c r="D515" s="10" t="s">
        <v>2</v>
      </c>
      <c r="E515" s="10" t="s">
        <v>3</v>
      </c>
      <c r="F515" s="10" t="s">
        <v>4</v>
      </c>
      <c r="G515" s="10" t="s">
        <v>5</v>
      </c>
      <c r="H515" s="10" t="s">
        <v>6</v>
      </c>
      <c r="I515" s="10" t="s">
        <v>7</v>
      </c>
      <c r="J515" s="10" t="s">
        <v>8</v>
      </c>
      <c r="K515" s="10" t="s">
        <v>9</v>
      </c>
      <c r="L515" s="10" t="s">
        <v>10</v>
      </c>
      <c r="M515" s="10" t="s">
        <v>11</v>
      </c>
      <c r="N515" s="27" t="s">
        <v>12</v>
      </c>
      <c r="O515" s="15" t="s">
        <v>13</v>
      </c>
      <c r="P515" s="10" t="s">
        <v>14</v>
      </c>
      <c r="Q515" s="19">
        <f t="shared" si="40"/>
        <v>0</v>
      </c>
      <c r="R515" s="22" t="s">
        <v>16</v>
      </c>
      <c r="S515" s="29">
        <f t="shared" ref="S515:S521" si="42">PRODUCT(Q515,R515)</f>
        <v>0</v>
      </c>
      <c r="T515" s="20">
        <f t="shared" ref="T515:T521" si="43">SUM(Q515,-S515)</f>
        <v>0</v>
      </c>
      <c r="U515" s="23" t="s">
        <v>19</v>
      </c>
      <c r="V515" s="31">
        <f t="shared" ref="V515:V521" si="44">SUM(T515,U515)</f>
        <v>0</v>
      </c>
    </row>
    <row r="516" spans="1:22" x14ac:dyDescent="0.3">
      <c r="A516" s="5" t="s">
        <v>0</v>
      </c>
      <c r="B516" s="6" t="e">
        <f t="shared" si="41"/>
        <v>#VALUE!</v>
      </c>
      <c r="C516" s="9" t="s">
        <v>1</v>
      </c>
      <c r="D516" s="10" t="s">
        <v>2</v>
      </c>
      <c r="E516" s="10" t="s">
        <v>3</v>
      </c>
      <c r="F516" s="10" t="s">
        <v>4</v>
      </c>
      <c r="G516" s="10" t="s">
        <v>5</v>
      </c>
      <c r="H516" s="10" t="s">
        <v>6</v>
      </c>
      <c r="I516" s="10" t="s">
        <v>7</v>
      </c>
      <c r="J516" s="10" t="s">
        <v>8</v>
      </c>
      <c r="K516" s="10" t="s">
        <v>9</v>
      </c>
      <c r="L516" s="10" t="s">
        <v>10</v>
      </c>
      <c r="M516" s="10" t="s">
        <v>11</v>
      </c>
      <c r="N516" s="27" t="s">
        <v>12</v>
      </c>
      <c r="O516" s="15" t="s">
        <v>13</v>
      </c>
      <c r="P516" s="10" t="s">
        <v>14</v>
      </c>
      <c r="Q516" s="19">
        <f t="shared" si="40"/>
        <v>0</v>
      </c>
      <c r="R516" s="22" t="s">
        <v>16</v>
      </c>
      <c r="S516" s="29">
        <f t="shared" si="42"/>
        <v>0</v>
      </c>
      <c r="T516" s="20">
        <f t="shared" si="43"/>
        <v>0</v>
      </c>
      <c r="U516" s="23" t="s">
        <v>19</v>
      </c>
      <c r="V516" s="31">
        <f t="shared" si="44"/>
        <v>0</v>
      </c>
    </row>
    <row r="517" spans="1:22" x14ac:dyDescent="0.3">
      <c r="A517" s="6"/>
      <c r="B517" s="6">
        <f t="shared" si="41"/>
        <v>1</v>
      </c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26"/>
      <c r="O517" s="14"/>
      <c r="P517" s="8"/>
      <c r="Q517" s="19">
        <f t="shared" si="40"/>
        <v>0</v>
      </c>
      <c r="R517" s="20"/>
      <c r="S517" s="29">
        <f t="shared" si="42"/>
        <v>0</v>
      </c>
      <c r="T517" s="20">
        <f t="shared" si="43"/>
        <v>0</v>
      </c>
      <c r="U517" s="21"/>
      <c r="V517" s="31">
        <f t="shared" si="44"/>
        <v>0</v>
      </c>
    </row>
    <row r="518" spans="1:22" x14ac:dyDescent="0.3">
      <c r="A518" s="6"/>
      <c r="B518" s="6">
        <f t="shared" si="41"/>
        <v>4</v>
      </c>
      <c r="C518" s="7">
        <v>41558</v>
      </c>
      <c r="D518" s="8" t="s">
        <v>72</v>
      </c>
      <c r="E518" s="8">
        <v>10</v>
      </c>
      <c r="F518" s="8" t="s">
        <v>73</v>
      </c>
      <c r="G518" s="8" t="s">
        <v>58</v>
      </c>
      <c r="H518" s="8" t="s">
        <v>74</v>
      </c>
      <c r="I518" s="8" t="s">
        <v>49</v>
      </c>
      <c r="J518" s="8" t="s">
        <v>76</v>
      </c>
      <c r="K518" s="8" t="s">
        <v>33</v>
      </c>
      <c r="L518" s="8" t="s">
        <v>54</v>
      </c>
      <c r="M518" s="8" t="s">
        <v>30</v>
      </c>
      <c r="N518" s="26">
        <v>41559</v>
      </c>
      <c r="O518" s="14">
        <v>165.2</v>
      </c>
      <c r="P518" s="8">
        <v>6</v>
      </c>
      <c r="Q518" s="19">
        <f t="shared" si="40"/>
        <v>991.19999999999993</v>
      </c>
      <c r="R518" s="20">
        <v>0.09</v>
      </c>
      <c r="S518" s="29">
        <f t="shared" si="42"/>
        <v>89.207999999999984</v>
      </c>
      <c r="T518" s="20">
        <f t="shared" si="43"/>
        <v>901.99199999999996</v>
      </c>
      <c r="U518" s="21">
        <v>19.989999999999998</v>
      </c>
      <c r="V518" s="31">
        <f t="shared" si="44"/>
        <v>921.98199999999997</v>
      </c>
    </row>
    <row r="519" spans="1:22" x14ac:dyDescent="0.3">
      <c r="A519" s="6"/>
      <c r="B519" s="6">
        <f t="shared" si="41"/>
        <v>4</v>
      </c>
      <c r="C519" s="7">
        <v>41558</v>
      </c>
      <c r="D519" s="8" t="s">
        <v>72</v>
      </c>
      <c r="E519" s="8">
        <v>220173.979304793</v>
      </c>
      <c r="F519" s="8" t="s">
        <v>73</v>
      </c>
      <c r="G519" s="8" t="s">
        <v>58</v>
      </c>
      <c r="H519" s="8" t="s">
        <v>74</v>
      </c>
      <c r="I519" s="8" t="s">
        <v>49</v>
      </c>
      <c r="J519" s="8" t="s">
        <v>76</v>
      </c>
      <c r="K519" s="8" t="s">
        <v>33</v>
      </c>
      <c r="L519" s="8" t="s">
        <v>54</v>
      </c>
      <c r="M519" s="8" t="s">
        <v>30</v>
      </c>
      <c r="N519" s="26">
        <v>41559</v>
      </c>
      <c r="O519" s="14">
        <v>56.292312340843402</v>
      </c>
      <c r="P519" s="8">
        <v>26.597799989233199</v>
      </c>
      <c r="Q519" s="19">
        <f t="shared" si="40"/>
        <v>1497.2516645731964</v>
      </c>
      <c r="R519" s="20">
        <v>4.93443834146007E-2</v>
      </c>
      <c r="S519" s="29">
        <f t="shared" si="42"/>
        <v>73.880960204848918</v>
      </c>
      <c r="T519" s="20">
        <f t="shared" si="43"/>
        <v>1423.3707043683476</v>
      </c>
      <c r="U519" s="21">
        <v>7.25991934707673</v>
      </c>
      <c r="V519" s="31">
        <f t="shared" si="44"/>
        <v>1430.6306237154242</v>
      </c>
    </row>
    <row r="520" spans="1:22" x14ac:dyDescent="0.3">
      <c r="A520" s="6"/>
      <c r="B520" s="6">
        <f t="shared" si="41"/>
        <v>4</v>
      </c>
      <c r="C520" s="7">
        <v>41558</v>
      </c>
      <c r="D520" s="8" t="s">
        <v>72</v>
      </c>
      <c r="E520" s="8">
        <v>220173.979304793</v>
      </c>
      <c r="F520" s="8" t="s">
        <v>73</v>
      </c>
      <c r="G520" s="8" t="s">
        <v>58</v>
      </c>
      <c r="H520" s="8" t="s">
        <v>74</v>
      </c>
      <c r="I520" s="8" t="s">
        <v>49</v>
      </c>
      <c r="J520" s="8" t="s">
        <v>76</v>
      </c>
      <c r="K520" s="8" t="s">
        <v>33</v>
      </c>
      <c r="L520" s="8" t="s">
        <v>54</v>
      </c>
      <c r="M520" s="8" t="s">
        <v>30</v>
      </c>
      <c r="N520" s="26">
        <v>41559</v>
      </c>
      <c r="O520" s="14">
        <v>56.292312340843402</v>
      </c>
      <c r="P520" s="8">
        <v>26.597799989233199</v>
      </c>
      <c r="Q520" s="19">
        <f t="shared" si="40"/>
        <v>1497.2516645731964</v>
      </c>
      <c r="R520" s="20">
        <v>4.93443834146007E-2</v>
      </c>
      <c r="S520" s="29">
        <f t="shared" si="42"/>
        <v>73.880960204848918</v>
      </c>
      <c r="T520" s="20">
        <f t="shared" si="43"/>
        <v>1423.3707043683476</v>
      </c>
      <c r="U520" s="21">
        <v>7.25991934707673</v>
      </c>
      <c r="V520" s="31">
        <f t="shared" si="44"/>
        <v>1430.6306237154242</v>
      </c>
    </row>
    <row r="521" spans="1:22" x14ac:dyDescent="0.3">
      <c r="A521" s="6"/>
      <c r="B521" s="6">
        <f t="shared" si="41"/>
        <v>4</v>
      </c>
      <c r="C521" s="7">
        <v>41558</v>
      </c>
      <c r="D521" s="8" t="s">
        <v>72</v>
      </c>
      <c r="E521" s="8">
        <v>220173.979304793</v>
      </c>
      <c r="F521" s="8" t="s">
        <v>73</v>
      </c>
      <c r="G521" s="8" t="s">
        <v>58</v>
      </c>
      <c r="H521" s="8" t="s">
        <v>74</v>
      </c>
      <c r="I521" s="8" t="s">
        <v>49</v>
      </c>
      <c r="J521" s="8" t="s">
        <v>76</v>
      </c>
      <c r="K521" s="8" t="s">
        <v>33</v>
      </c>
      <c r="L521" s="8" t="s">
        <v>54</v>
      </c>
      <c r="M521" s="8" t="s">
        <v>30</v>
      </c>
      <c r="N521" s="26">
        <v>41559</v>
      </c>
      <c r="O521" s="14">
        <v>56.292312340843402</v>
      </c>
      <c r="P521" s="8">
        <v>26.597799989233199</v>
      </c>
      <c r="Q521" s="19">
        <f t="shared" si="40"/>
        <v>1497.2516645731964</v>
      </c>
      <c r="R521" s="20">
        <v>4.93443834146007E-2</v>
      </c>
      <c r="S521" s="29">
        <f t="shared" si="42"/>
        <v>73.880960204848918</v>
      </c>
      <c r="T521" s="20">
        <f t="shared" si="43"/>
        <v>1423.3707043683476</v>
      </c>
      <c r="U521" s="21">
        <v>7.25991934707673</v>
      </c>
      <c r="V521" s="31">
        <f t="shared" si="44"/>
        <v>1430.6306237154242</v>
      </c>
    </row>
    <row r="522" spans="1:22" x14ac:dyDescent="0.3">
      <c r="N522" s="33" t="s">
        <v>1319</v>
      </c>
      <c r="O522" s="34">
        <f>MIN(O518:O521)</f>
        <v>56.292312340843402</v>
      </c>
      <c r="P522" s="35" t="s">
        <v>1321</v>
      </c>
      <c r="Q522" s="36">
        <f>AVERAGE(Q2:Q521)</f>
        <v>1146.5514767813459</v>
      </c>
      <c r="U522" s="24" t="s">
        <v>1322</v>
      </c>
      <c r="V522" s="32">
        <f>SUM(V2:V521)</f>
        <v>564625.54458360537</v>
      </c>
    </row>
    <row r="523" spans="1:22" x14ac:dyDescent="0.3">
      <c r="N523" s="33" t="s">
        <v>1320</v>
      </c>
      <c r="O523" s="34">
        <f>MAX(O518:O522)</f>
        <v>165.2</v>
      </c>
      <c r="P523" s="35"/>
      <c r="Q523" s="36"/>
    </row>
    <row r="524" spans="1:22" x14ac:dyDescent="0.3">
      <c r="P524" s="35"/>
      <c r="Q524" s="36"/>
    </row>
  </sheetData>
  <sortState xmlns:xlrd2="http://schemas.microsoft.com/office/spreadsheetml/2017/richdata2" ref="A2:V521">
    <sortCondition ref="A1:A521"/>
  </sortState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47A3-CA4E-4799-B0EF-B2B9BF5CBC01}">
  <dimension ref="A1:C498"/>
  <sheetViews>
    <sheetView zoomScaleNormal="100" workbookViewId="0">
      <selection sqref="A1:C1"/>
    </sheetView>
  </sheetViews>
  <sheetFormatPr defaultRowHeight="14.4" x14ac:dyDescent="0.3"/>
  <cols>
    <col min="1" max="1" width="21.88671875" bestFit="1" customWidth="1"/>
    <col min="2" max="2" width="15.33203125" bestFit="1" customWidth="1"/>
  </cols>
  <sheetData>
    <row r="1" spans="1:3" x14ac:dyDescent="0.3">
      <c r="A1" t="s">
        <v>4</v>
      </c>
      <c r="B1" t="s">
        <v>1119</v>
      </c>
      <c r="C1" t="s">
        <v>1120</v>
      </c>
    </row>
    <row r="2" spans="1:3" x14ac:dyDescent="0.3">
      <c r="A2" t="s">
        <v>23</v>
      </c>
      <c r="B2" t="s">
        <v>1121</v>
      </c>
      <c r="C2" t="s">
        <v>1122</v>
      </c>
    </row>
    <row r="3" spans="1:3" x14ac:dyDescent="0.3">
      <c r="A3" t="s">
        <v>37</v>
      </c>
      <c r="B3" t="s">
        <v>1123</v>
      </c>
      <c r="C3" t="s">
        <v>1122</v>
      </c>
    </row>
    <row r="4" spans="1:3" x14ac:dyDescent="0.3">
      <c r="A4" t="s">
        <v>47</v>
      </c>
      <c r="B4" t="s">
        <v>1124</v>
      </c>
      <c r="C4" t="s">
        <v>1122</v>
      </c>
    </row>
    <row r="5" spans="1:3" x14ac:dyDescent="0.3">
      <c r="A5" t="s">
        <v>57</v>
      </c>
      <c r="B5" t="s">
        <v>1125</v>
      </c>
      <c r="C5" t="s">
        <v>1122</v>
      </c>
    </row>
    <row r="6" spans="1:3" x14ac:dyDescent="0.3">
      <c r="A6" t="s">
        <v>66</v>
      </c>
      <c r="B6" t="s">
        <v>1126</v>
      </c>
      <c r="C6" t="s">
        <v>1122</v>
      </c>
    </row>
    <row r="7" spans="1:3" x14ac:dyDescent="0.3">
      <c r="A7" t="s">
        <v>73</v>
      </c>
      <c r="B7" t="s">
        <v>1127</v>
      </c>
      <c r="C7" t="s">
        <v>1122</v>
      </c>
    </row>
    <row r="8" spans="1:3" x14ac:dyDescent="0.3">
      <c r="A8" t="s">
        <v>79</v>
      </c>
      <c r="B8" t="s">
        <v>1128</v>
      </c>
      <c r="C8" t="s">
        <v>1129</v>
      </c>
    </row>
    <row r="9" spans="1:3" x14ac:dyDescent="0.3">
      <c r="A9" t="s">
        <v>84</v>
      </c>
      <c r="B9" t="s">
        <v>1130</v>
      </c>
      <c r="C9" t="s">
        <v>1129</v>
      </c>
    </row>
    <row r="10" spans="1:3" x14ac:dyDescent="0.3">
      <c r="A10" t="s">
        <v>91</v>
      </c>
      <c r="B10" t="s">
        <v>1131</v>
      </c>
      <c r="C10" t="s">
        <v>1129</v>
      </c>
    </row>
    <row r="11" spans="1:3" x14ac:dyDescent="0.3">
      <c r="A11" t="s">
        <v>98</v>
      </c>
      <c r="B11" t="s">
        <v>1132</v>
      </c>
      <c r="C11" t="s">
        <v>1129</v>
      </c>
    </row>
    <row r="12" spans="1:3" x14ac:dyDescent="0.3">
      <c r="A12" t="s">
        <v>104</v>
      </c>
      <c r="B12" t="s">
        <v>1133</v>
      </c>
      <c r="C12" t="s">
        <v>1129</v>
      </c>
    </row>
    <row r="13" spans="1:3" x14ac:dyDescent="0.3">
      <c r="A13" t="s">
        <v>111</v>
      </c>
      <c r="B13" t="s">
        <v>1134</v>
      </c>
      <c r="C13" t="s">
        <v>1129</v>
      </c>
    </row>
    <row r="14" spans="1:3" x14ac:dyDescent="0.3">
      <c r="A14" t="s">
        <v>117</v>
      </c>
      <c r="B14" t="s">
        <v>1135</v>
      </c>
      <c r="C14" t="s">
        <v>1122</v>
      </c>
    </row>
    <row r="15" spans="1:3" x14ac:dyDescent="0.3">
      <c r="A15" t="s">
        <v>129</v>
      </c>
      <c r="B15" t="s">
        <v>1136</v>
      </c>
      <c r="C15" t="s">
        <v>1122</v>
      </c>
    </row>
    <row r="16" spans="1:3" x14ac:dyDescent="0.3">
      <c r="A16" t="s">
        <v>135</v>
      </c>
      <c r="B16" t="s">
        <v>1128</v>
      </c>
      <c r="C16" t="s">
        <v>1129</v>
      </c>
    </row>
    <row r="17" spans="1:3" x14ac:dyDescent="0.3">
      <c r="A17" t="s">
        <v>144</v>
      </c>
      <c r="B17" t="s">
        <v>1137</v>
      </c>
      <c r="C17" t="s">
        <v>1129</v>
      </c>
    </row>
    <row r="18" spans="1:3" x14ac:dyDescent="0.3">
      <c r="A18" t="s">
        <v>149</v>
      </c>
      <c r="B18" t="s">
        <v>1138</v>
      </c>
      <c r="C18" t="s">
        <v>1129</v>
      </c>
    </row>
    <row r="19" spans="1:3" x14ac:dyDescent="0.3">
      <c r="A19" t="s">
        <v>155</v>
      </c>
      <c r="B19" t="s">
        <v>1139</v>
      </c>
      <c r="C19" t="s">
        <v>1129</v>
      </c>
    </row>
    <row r="20" spans="1:3" x14ac:dyDescent="0.3">
      <c r="A20" t="s">
        <v>160</v>
      </c>
      <c r="B20" t="s">
        <v>1140</v>
      </c>
      <c r="C20" t="s">
        <v>1129</v>
      </c>
    </row>
    <row r="21" spans="1:3" x14ac:dyDescent="0.3">
      <c r="A21" t="s">
        <v>169</v>
      </c>
      <c r="B21" t="s">
        <v>1124</v>
      </c>
      <c r="C21" t="s">
        <v>1122</v>
      </c>
    </row>
    <row r="22" spans="1:3" x14ac:dyDescent="0.3">
      <c r="A22" t="s">
        <v>174</v>
      </c>
      <c r="B22" t="s">
        <v>1141</v>
      </c>
      <c r="C22" t="s">
        <v>1122</v>
      </c>
    </row>
    <row r="23" spans="1:3" x14ac:dyDescent="0.3">
      <c r="A23" t="s">
        <v>180</v>
      </c>
      <c r="B23" t="s">
        <v>1142</v>
      </c>
      <c r="C23" t="s">
        <v>1122</v>
      </c>
    </row>
    <row r="24" spans="1:3" x14ac:dyDescent="0.3">
      <c r="A24" t="s">
        <v>186</v>
      </c>
      <c r="B24" t="s">
        <v>1143</v>
      </c>
      <c r="C24" t="s">
        <v>1129</v>
      </c>
    </row>
    <row r="25" spans="1:3" x14ac:dyDescent="0.3">
      <c r="A25" t="s">
        <v>192</v>
      </c>
      <c r="B25" t="s">
        <v>1132</v>
      </c>
      <c r="C25" t="s">
        <v>1129</v>
      </c>
    </row>
    <row r="26" spans="1:3" x14ac:dyDescent="0.3">
      <c r="A26" t="s">
        <v>198</v>
      </c>
      <c r="B26" t="s">
        <v>1144</v>
      </c>
      <c r="C26" t="s">
        <v>1129</v>
      </c>
    </row>
    <row r="27" spans="1:3" x14ac:dyDescent="0.3">
      <c r="A27" t="s">
        <v>204</v>
      </c>
      <c r="B27" t="s">
        <v>1145</v>
      </c>
      <c r="C27" t="s">
        <v>1129</v>
      </c>
    </row>
    <row r="28" spans="1:3" x14ac:dyDescent="0.3">
      <c r="A28" t="s">
        <v>209</v>
      </c>
      <c r="B28" t="s">
        <v>1146</v>
      </c>
      <c r="C28" t="s">
        <v>1129</v>
      </c>
    </row>
    <row r="29" spans="1:3" x14ac:dyDescent="0.3">
      <c r="A29" t="s">
        <v>215</v>
      </c>
      <c r="B29" t="s">
        <v>1147</v>
      </c>
      <c r="C29" t="s">
        <v>1129</v>
      </c>
    </row>
    <row r="30" spans="1:3" x14ac:dyDescent="0.3">
      <c r="A30" t="s">
        <v>220</v>
      </c>
      <c r="B30" t="s">
        <v>1148</v>
      </c>
      <c r="C30" t="s">
        <v>1122</v>
      </c>
    </row>
    <row r="31" spans="1:3" x14ac:dyDescent="0.3">
      <c r="A31" t="s">
        <v>225</v>
      </c>
      <c r="B31" t="s">
        <v>1149</v>
      </c>
      <c r="C31" t="s">
        <v>1122</v>
      </c>
    </row>
    <row r="32" spans="1:3" x14ac:dyDescent="0.3">
      <c r="A32" t="s">
        <v>229</v>
      </c>
      <c r="B32" t="s">
        <v>1150</v>
      </c>
      <c r="C32" t="s">
        <v>1129</v>
      </c>
    </row>
    <row r="33" spans="1:3" x14ac:dyDescent="0.3">
      <c r="A33" t="s">
        <v>235</v>
      </c>
      <c r="B33" t="s">
        <v>1137</v>
      </c>
      <c r="C33" t="s">
        <v>1129</v>
      </c>
    </row>
    <row r="34" spans="1:3" x14ac:dyDescent="0.3">
      <c r="A34" t="s">
        <v>241</v>
      </c>
      <c r="B34" t="s">
        <v>1151</v>
      </c>
      <c r="C34" t="s">
        <v>1129</v>
      </c>
    </row>
    <row r="35" spans="1:3" x14ac:dyDescent="0.3">
      <c r="A35" t="s">
        <v>247</v>
      </c>
      <c r="B35" t="s">
        <v>1152</v>
      </c>
      <c r="C35" t="s">
        <v>1129</v>
      </c>
    </row>
    <row r="36" spans="1:3" x14ac:dyDescent="0.3">
      <c r="A36" t="s">
        <v>252</v>
      </c>
      <c r="B36" t="s">
        <v>1153</v>
      </c>
      <c r="C36" t="s">
        <v>1129</v>
      </c>
    </row>
    <row r="37" spans="1:3" x14ac:dyDescent="0.3">
      <c r="A37" t="s">
        <v>257</v>
      </c>
      <c r="B37" t="s">
        <v>1154</v>
      </c>
      <c r="C37" t="s">
        <v>1129</v>
      </c>
    </row>
    <row r="38" spans="1:3" x14ac:dyDescent="0.3">
      <c r="A38" t="s">
        <v>260</v>
      </c>
      <c r="B38" t="s">
        <v>1155</v>
      </c>
      <c r="C38" t="s">
        <v>1122</v>
      </c>
    </row>
    <row r="39" spans="1:3" x14ac:dyDescent="0.3">
      <c r="A39" t="s">
        <v>268</v>
      </c>
      <c r="B39" t="s">
        <v>1156</v>
      </c>
      <c r="C39" t="s">
        <v>1122</v>
      </c>
    </row>
    <row r="40" spans="1:3" x14ac:dyDescent="0.3">
      <c r="A40" t="s">
        <v>273</v>
      </c>
      <c r="B40" t="s">
        <v>1157</v>
      </c>
      <c r="C40" t="s">
        <v>1129</v>
      </c>
    </row>
    <row r="41" spans="1:3" x14ac:dyDescent="0.3">
      <c r="A41" t="s">
        <v>279</v>
      </c>
      <c r="B41" t="s">
        <v>1158</v>
      </c>
      <c r="C41" t="s">
        <v>1129</v>
      </c>
    </row>
    <row r="42" spans="1:3" x14ac:dyDescent="0.3">
      <c r="A42" t="s">
        <v>287</v>
      </c>
      <c r="B42" t="s">
        <v>1159</v>
      </c>
      <c r="C42" t="s">
        <v>1129</v>
      </c>
    </row>
    <row r="43" spans="1:3" x14ac:dyDescent="0.3">
      <c r="A43" t="s">
        <v>294</v>
      </c>
      <c r="B43" t="s">
        <v>1160</v>
      </c>
      <c r="C43" t="s">
        <v>1129</v>
      </c>
    </row>
    <row r="44" spans="1:3" x14ac:dyDescent="0.3">
      <c r="A44" t="s">
        <v>297</v>
      </c>
      <c r="B44" t="s">
        <v>1161</v>
      </c>
      <c r="C44" t="s">
        <v>1129</v>
      </c>
    </row>
    <row r="45" spans="1:3" x14ac:dyDescent="0.3">
      <c r="A45" t="s">
        <v>302</v>
      </c>
      <c r="B45" t="s">
        <v>1162</v>
      </c>
      <c r="C45" t="s">
        <v>1122</v>
      </c>
    </row>
    <row r="46" spans="1:3" x14ac:dyDescent="0.3">
      <c r="A46" t="s">
        <v>306</v>
      </c>
      <c r="B46" t="s">
        <v>1163</v>
      </c>
      <c r="C46" t="s">
        <v>1122</v>
      </c>
    </row>
    <row r="47" spans="1:3" x14ac:dyDescent="0.3">
      <c r="A47" t="s">
        <v>312</v>
      </c>
      <c r="B47" t="s">
        <v>1164</v>
      </c>
      <c r="C47" t="s">
        <v>1122</v>
      </c>
    </row>
    <row r="48" spans="1:3" x14ac:dyDescent="0.3">
      <c r="A48" t="s">
        <v>315</v>
      </c>
      <c r="B48" t="s">
        <v>1165</v>
      </c>
      <c r="C48" t="s">
        <v>1122</v>
      </c>
    </row>
    <row r="49" spans="1:3" x14ac:dyDescent="0.3">
      <c r="A49" t="s">
        <v>319</v>
      </c>
      <c r="B49" t="s">
        <v>1166</v>
      </c>
      <c r="C49" t="s">
        <v>1129</v>
      </c>
    </row>
    <row r="50" spans="1:3" x14ac:dyDescent="0.3">
      <c r="A50" t="s">
        <v>323</v>
      </c>
      <c r="B50" t="s">
        <v>1138</v>
      </c>
      <c r="C50" t="s">
        <v>1129</v>
      </c>
    </row>
    <row r="51" spans="1:3" x14ac:dyDescent="0.3">
      <c r="A51" t="s">
        <v>327</v>
      </c>
      <c r="B51" t="s">
        <v>1167</v>
      </c>
      <c r="C51" t="s">
        <v>1129</v>
      </c>
    </row>
    <row r="52" spans="1:3" x14ac:dyDescent="0.3">
      <c r="A52" t="s">
        <v>331</v>
      </c>
      <c r="B52" t="s">
        <v>1168</v>
      </c>
      <c r="C52" t="s">
        <v>1129</v>
      </c>
    </row>
    <row r="53" spans="1:3" x14ac:dyDescent="0.3">
      <c r="A53" t="s">
        <v>335</v>
      </c>
      <c r="B53" t="s">
        <v>1169</v>
      </c>
      <c r="C53" t="s">
        <v>1129</v>
      </c>
    </row>
    <row r="54" spans="1:3" x14ac:dyDescent="0.3">
      <c r="A54" t="s">
        <v>338</v>
      </c>
      <c r="B54" t="s">
        <v>1170</v>
      </c>
      <c r="C54" t="s">
        <v>1129</v>
      </c>
    </row>
    <row r="55" spans="1:3" x14ac:dyDescent="0.3">
      <c r="A55" t="s">
        <v>342</v>
      </c>
      <c r="B55" t="s">
        <v>1171</v>
      </c>
      <c r="C55" t="s">
        <v>1122</v>
      </c>
    </row>
    <row r="56" spans="1:3" x14ac:dyDescent="0.3">
      <c r="A56" t="s">
        <v>345</v>
      </c>
      <c r="B56" t="s">
        <v>1172</v>
      </c>
      <c r="C56" t="s">
        <v>1122</v>
      </c>
    </row>
    <row r="57" spans="1:3" x14ac:dyDescent="0.3">
      <c r="A57" t="s">
        <v>350</v>
      </c>
      <c r="B57" t="s">
        <v>1173</v>
      </c>
      <c r="C57" t="s">
        <v>1122</v>
      </c>
    </row>
    <row r="58" spans="1:3" x14ac:dyDescent="0.3">
      <c r="A58" t="s">
        <v>353</v>
      </c>
      <c r="B58" t="s">
        <v>1174</v>
      </c>
      <c r="C58" t="s">
        <v>1122</v>
      </c>
    </row>
    <row r="59" spans="1:3" x14ac:dyDescent="0.3">
      <c r="A59" t="s">
        <v>356</v>
      </c>
      <c r="B59" t="s">
        <v>1175</v>
      </c>
      <c r="C59" t="s">
        <v>1129</v>
      </c>
    </row>
    <row r="60" spans="1:3" x14ac:dyDescent="0.3">
      <c r="A60" t="s">
        <v>359</v>
      </c>
      <c r="B60" t="s">
        <v>1176</v>
      </c>
      <c r="C60" t="s">
        <v>1129</v>
      </c>
    </row>
    <row r="61" spans="1:3" x14ac:dyDescent="0.3">
      <c r="A61" t="s">
        <v>362</v>
      </c>
      <c r="B61" t="s">
        <v>1177</v>
      </c>
      <c r="C61" t="s">
        <v>1129</v>
      </c>
    </row>
    <row r="62" spans="1:3" x14ac:dyDescent="0.3">
      <c r="A62" t="s">
        <v>366</v>
      </c>
      <c r="B62" t="s">
        <v>1178</v>
      </c>
      <c r="C62" t="s">
        <v>1129</v>
      </c>
    </row>
    <row r="63" spans="1:3" x14ac:dyDescent="0.3">
      <c r="A63" t="s">
        <v>370</v>
      </c>
      <c r="B63" t="s">
        <v>1179</v>
      </c>
      <c r="C63" t="s">
        <v>1129</v>
      </c>
    </row>
    <row r="64" spans="1:3" x14ac:dyDescent="0.3">
      <c r="A64" t="s">
        <v>373</v>
      </c>
      <c r="B64" t="s">
        <v>1148</v>
      </c>
      <c r="C64" t="s">
        <v>1122</v>
      </c>
    </row>
    <row r="65" spans="1:3" x14ac:dyDescent="0.3">
      <c r="A65" t="s">
        <v>377</v>
      </c>
      <c r="B65" t="s">
        <v>1180</v>
      </c>
      <c r="C65" t="s">
        <v>1122</v>
      </c>
    </row>
    <row r="66" spans="1:3" x14ac:dyDescent="0.3">
      <c r="A66" t="s">
        <v>380</v>
      </c>
      <c r="B66" t="s">
        <v>1181</v>
      </c>
      <c r="C66" t="s">
        <v>1122</v>
      </c>
    </row>
    <row r="67" spans="1:3" x14ac:dyDescent="0.3">
      <c r="A67" t="s">
        <v>383</v>
      </c>
      <c r="B67" t="s">
        <v>1181</v>
      </c>
      <c r="C67" t="s">
        <v>1122</v>
      </c>
    </row>
    <row r="68" spans="1:3" x14ac:dyDescent="0.3">
      <c r="A68" t="s">
        <v>386</v>
      </c>
      <c r="B68" t="s">
        <v>1182</v>
      </c>
      <c r="C68" t="s">
        <v>1129</v>
      </c>
    </row>
    <row r="69" spans="1:3" x14ac:dyDescent="0.3">
      <c r="A69" t="s">
        <v>389</v>
      </c>
      <c r="B69" t="s">
        <v>1139</v>
      </c>
      <c r="C69" t="s">
        <v>1129</v>
      </c>
    </row>
    <row r="70" spans="1:3" x14ac:dyDescent="0.3">
      <c r="A70" t="s">
        <v>393</v>
      </c>
      <c r="B70" t="s">
        <v>1183</v>
      </c>
      <c r="C70" t="s">
        <v>1129</v>
      </c>
    </row>
    <row r="71" spans="1:3" x14ac:dyDescent="0.3">
      <c r="A71" t="s">
        <v>397</v>
      </c>
      <c r="B71" t="s">
        <v>1184</v>
      </c>
      <c r="C71" t="s">
        <v>1129</v>
      </c>
    </row>
    <row r="72" spans="1:3" x14ac:dyDescent="0.3">
      <c r="A72" t="s">
        <v>401</v>
      </c>
      <c r="B72" t="s">
        <v>1185</v>
      </c>
      <c r="C72" t="s">
        <v>1129</v>
      </c>
    </row>
    <row r="73" spans="1:3" x14ac:dyDescent="0.3">
      <c r="A73" t="s">
        <v>404</v>
      </c>
      <c r="B73" t="s">
        <v>1186</v>
      </c>
      <c r="C73" t="s">
        <v>1129</v>
      </c>
    </row>
    <row r="74" spans="1:3" x14ac:dyDescent="0.3">
      <c r="A74" t="s">
        <v>407</v>
      </c>
      <c r="B74" t="s">
        <v>1173</v>
      </c>
      <c r="C74" t="s">
        <v>1122</v>
      </c>
    </row>
    <row r="75" spans="1:3" x14ac:dyDescent="0.3">
      <c r="A75" t="s">
        <v>411</v>
      </c>
      <c r="B75" t="s">
        <v>1187</v>
      </c>
      <c r="C75" t="s">
        <v>1122</v>
      </c>
    </row>
    <row r="76" spans="1:3" x14ac:dyDescent="0.3">
      <c r="A76" t="s">
        <v>415</v>
      </c>
      <c r="B76" t="s">
        <v>1163</v>
      </c>
      <c r="C76" t="s">
        <v>1122</v>
      </c>
    </row>
    <row r="77" spans="1:3" x14ac:dyDescent="0.3">
      <c r="A77" t="s">
        <v>419</v>
      </c>
      <c r="B77" t="s">
        <v>1188</v>
      </c>
      <c r="C77" t="s">
        <v>1129</v>
      </c>
    </row>
    <row r="78" spans="1:3" x14ac:dyDescent="0.3">
      <c r="A78" t="s">
        <v>422</v>
      </c>
      <c r="B78" t="s">
        <v>1189</v>
      </c>
      <c r="C78" t="s">
        <v>1129</v>
      </c>
    </row>
    <row r="79" spans="1:3" x14ac:dyDescent="0.3">
      <c r="A79" t="s">
        <v>425</v>
      </c>
      <c r="B79" t="s">
        <v>1190</v>
      </c>
      <c r="C79" t="s">
        <v>1129</v>
      </c>
    </row>
    <row r="80" spans="1:3" x14ac:dyDescent="0.3">
      <c r="A80" t="s">
        <v>428</v>
      </c>
      <c r="B80" t="s">
        <v>1191</v>
      </c>
      <c r="C80" t="s">
        <v>1129</v>
      </c>
    </row>
    <row r="81" spans="1:3" x14ac:dyDescent="0.3">
      <c r="A81" t="s">
        <v>431</v>
      </c>
      <c r="B81" t="s">
        <v>1192</v>
      </c>
      <c r="C81" t="s">
        <v>1129</v>
      </c>
    </row>
    <row r="82" spans="1:3" x14ac:dyDescent="0.3">
      <c r="A82" t="s">
        <v>434</v>
      </c>
      <c r="B82" t="s">
        <v>1136</v>
      </c>
      <c r="C82" t="s">
        <v>1122</v>
      </c>
    </row>
    <row r="83" spans="1:3" x14ac:dyDescent="0.3">
      <c r="A83" t="s">
        <v>437</v>
      </c>
      <c r="B83" t="s">
        <v>1193</v>
      </c>
      <c r="C83" t="s">
        <v>1122</v>
      </c>
    </row>
    <row r="84" spans="1:3" x14ac:dyDescent="0.3">
      <c r="A84" t="s">
        <v>442</v>
      </c>
      <c r="B84" t="s">
        <v>1194</v>
      </c>
      <c r="C84" t="s">
        <v>1122</v>
      </c>
    </row>
    <row r="85" spans="1:3" x14ac:dyDescent="0.3">
      <c r="A85" t="s">
        <v>445</v>
      </c>
      <c r="B85" t="s">
        <v>1195</v>
      </c>
      <c r="C85" t="s">
        <v>1122</v>
      </c>
    </row>
    <row r="86" spans="1:3" x14ac:dyDescent="0.3">
      <c r="A86" t="s">
        <v>449</v>
      </c>
      <c r="B86" t="s">
        <v>1196</v>
      </c>
      <c r="C86" t="s">
        <v>1129</v>
      </c>
    </row>
    <row r="87" spans="1:3" x14ac:dyDescent="0.3">
      <c r="A87" t="s">
        <v>452</v>
      </c>
      <c r="B87" t="s">
        <v>1140</v>
      </c>
      <c r="C87" t="s">
        <v>1129</v>
      </c>
    </row>
    <row r="88" spans="1:3" x14ac:dyDescent="0.3">
      <c r="A88" t="s">
        <v>455</v>
      </c>
      <c r="B88" t="s">
        <v>1197</v>
      </c>
      <c r="C88" t="s">
        <v>1129</v>
      </c>
    </row>
    <row r="89" spans="1:3" x14ac:dyDescent="0.3">
      <c r="A89" t="s">
        <v>461</v>
      </c>
      <c r="B89" t="s">
        <v>1198</v>
      </c>
      <c r="C89" t="s">
        <v>1129</v>
      </c>
    </row>
    <row r="90" spans="1:3" x14ac:dyDescent="0.3">
      <c r="A90" t="s">
        <v>464</v>
      </c>
      <c r="B90" t="s">
        <v>1199</v>
      </c>
      <c r="C90" t="s">
        <v>1129</v>
      </c>
    </row>
    <row r="91" spans="1:3" x14ac:dyDescent="0.3">
      <c r="A91" t="s">
        <v>160</v>
      </c>
      <c r="B91" t="s">
        <v>1200</v>
      </c>
      <c r="C91" t="s">
        <v>1129</v>
      </c>
    </row>
    <row r="92" spans="1:3" x14ac:dyDescent="0.3">
      <c r="A92" t="s">
        <v>472</v>
      </c>
      <c r="B92" t="s">
        <v>1121</v>
      </c>
      <c r="C92" t="s">
        <v>1122</v>
      </c>
    </row>
    <row r="93" spans="1:3" x14ac:dyDescent="0.3">
      <c r="A93" t="s">
        <v>476</v>
      </c>
      <c r="B93" t="s">
        <v>1201</v>
      </c>
      <c r="C93" t="s">
        <v>1122</v>
      </c>
    </row>
    <row r="94" spans="1:3" x14ac:dyDescent="0.3">
      <c r="A94" t="s">
        <v>480</v>
      </c>
      <c r="B94" t="s">
        <v>1172</v>
      </c>
      <c r="C94" t="s">
        <v>1122</v>
      </c>
    </row>
    <row r="95" spans="1:3" x14ac:dyDescent="0.3">
      <c r="A95" t="s">
        <v>79</v>
      </c>
      <c r="B95" t="s">
        <v>1130</v>
      </c>
      <c r="C95" t="s">
        <v>1129</v>
      </c>
    </row>
    <row r="96" spans="1:3" x14ac:dyDescent="0.3">
      <c r="A96" t="s">
        <v>488</v>
      </c>
      <c r="B96" t="s">
        <v>1131</v>
      </c>
      <c r="C96" t="s">
        <v>1129</v>
      </c>
    </row>
    <row r="97" spans="1:3" x14ac:dyDescent="0.3">
      <c r="A97" t="s">
        <v>209</v>
      </c>
      <c r="B97" t="s">
        <v>1132</v>
      </c>
      <c r="C97" t="s">
        <v>1129</v>
      </c>
    </row>
    <row r="98" spans="1:3" x14ac:dyDescent="0.3">
      <c r="A98" t="s">
        <v>495</v>
      </c>
      <c r="B98" t="s">
        <v>1133</v>
      </c>
      <c r="C98" t="s">
        <v>1129</v>
      </c>
    </row>
    <row r="99" spans="1:3" x14ac:dyDescent="0.3">
      <c r="A99" t="s">
        <v>499</v>
      </c>
      <c r="B99" t="s">
        <v>1134</v>
      </c>
      <c r="C99" t="s">
        <v>1129</v>
      </c>
    </row>
    <row r="100" spans="1:3" x14ac:dyDescent="0.3">
      <c r="A100" t="s">
        <v>502</v>
      </c>
      <c r="B100" t="s">
        <v>1202</v>
      </c>
      <c r="C100" t="s">
        <v>1122</v>
      </c>
    </row>
    <row r="101" spans="1:3" x14ac:dyDescent="0.3">
      <c r="A101" t="s">
        <v>505</v>
      </c>
      <c r="B101" t="s">
        <v>1203</v>
      </c>
      <c r="C101" t="s">
        <v>1122</v>
      </c>
    </row>
    <row r="102" spans="1:3" x14ac:dyDescent="0.3">
      <c r="A102" t="s">
        <v>509</v>
      </c>
      <c r="B102" t="s">
        <v>1163</v>
      </c>
      <c r="C102" t="s">
        <v>1122</v>
      </c>
    </row>
    <row r="103" spans="1:3" x14ac:dyDescent="0.3">
      <c r="A103" t="s">
        <v>512</v>
      </c>
      <c r="B103" t="s">
        <v>1204</v>
      </c>
      <c r="C103" t="s">
        <v>1122</v>
      </c>
    </row>
    <row r="104" spans="1:3" x14ac:dyDescent="0.3">
      <c r="A104" t="s">
        <v>516</v>
      </c>
      <c r="B104" t="s">
        <v>1128</v>
      </c>
      <c r="C104" t="s">
        <v>1129</v>
      </c>
    </row>
    <row r="105" spans="1:3" x14ac:dyDescent="0.3">
      <c r="A105" t="s">
        <v>519</v>
      </c>
      <c r="B105" t="s">
        <v>1143</v>
      </c>
      <c r="C105" t="s">
        <v>1129</v>
      </c>
    </row>
    <row r="106" spans="1:3" x14ac:dyDescent="0.3">
      <c r="A106" t="s">
        <v>393</v>
      </c>
      <c r="B106" t="s">
        <v>1137</v>
      </c>
      <c r="C106" t="s">
        <v>1129</v>
      </c>
    </row>
    <row r="107" spans="1:3" x14ac:dyDescent="0.3">
      <c r="A107" t="s">
        <v>525</v>
      </c>
      <c r="B107" t="s">
        <v>1138</v>
      </c>
      <c r="C107" t="s">
        <v>1129</v>
      </c>
    </row>
    <row r="108" spans="1:3" x14ac:dyDescent="0.3">
      <c r="A108" t="s">
        <v>519</v>
      </c>
      <c r="B108" t="s">
        <v>1139</v>
      </c>
      <c r="C108" t="s">
        <v>1129</v>
      </c>
    </row>
    <row r="109" spans="1:3" x14ac:dyDescent="0.3">
      <c r="A109" t="s">
        <v>531</v>
      </c>
      <c r="B109" t="s">
        <v>1140</v>
      </c>
      <c r="C109" t="s">
        <v>1129</v>
      </c>
    </row>
    <row r="110" spans="1:3" x14ac:dyDescent="0.3">
      <c r="A110" t="s">
        <v>535</v>
      </c>
      <c r="B110" t="s">
        <v>1181</v>
      </c>
      <c r="C110" t="s">
        <v>1122</v>
      </c>
    </row>
    <row r="111" spans="1:3" x14ac:dyDescent="0.3">
      <c r="A111" t="s">
        <v>539</v>
      </c>
      <c r="B111" t="s">
        <v>1173</v>
      </c>
      <c r="C111" t="s">
        <v>1122</v>
      </c>
    </row>
    <row r="112" spans="1:3" x14ac:dyDescent="0.3">
      <c r="A112" t="s">
        <v>542</v>
      </c>
      <c r="B112" t="s">
        <v>1205</v>
      </c>
      <c r="C112" t="s">
        <v>1122</v>
      </c>
    </row>
    <row r="113" spans="1:3" x14ac:dyDescent="0.3">
      <c r="A113" t="s">
        <v>461</v>
      </c>
      <c r="B113" t="s">
        <v>1143</v>
      </c>
      <c r="C113" t="s">
        <v>1129</v>
      </c>
    </row>
    <row r="114" spans="1:3" x14ac:dyDescent="0.3">
      <c r="A114" t="s">
        <v>547</v>
      </c>
      <c r="B114" t="s">
        <v>1144</v>
      </c>
      <c r="C114" t="s">
        <v>1129</v>
      </c>
    </row>
    <row r="115" spans="1:3" x14ac:dyDescent="0.3">
      <c r="A115" t="s">
        <v>551</v>
      </c>
      <c r="B115" t="s">
        <v>1145</v>
      </c>
      <c r="C115" t="s">
        <v>1129</v>
      </c>
    </row>
    <row r="116" spans="1:3" x14ac:dyDescent="0.3">
      <c r="A116" t="s">
        <v>555</v>
      </c>
      <c r="B116" t="s">
        <v>1146</v>
      </c>
      <c r="C116" t="s">
        <v>1129</v>
      </c>
    </row>
    <row r="117" spans="1:3" x14ac:dyDescent="0.3">
      <c r="A117" t="s">
        <v>366</v>
      </c>
      <c r="B117" t="s">
        <v>1147</v>
      </c>
      <c r="C117" t="s">
        <v>1129</v>
      </c>
    </row>
    <row r="118" spans="1:3" x14ac:dyDescent="0.3">
      <c r="A118" t="s">
        <v>561</v>
      </c>
      <c r="B118" t="s">
        <v>1206</v>
      </c>
      <c r="C118" t="s">
        <v>1122</v>
      </c>
    </row>
    <row r="119" spans="1:3" x14ac:dyDescent="0.3">
      <c r="A119" t="s">
        <v>564</v>
      </c>
      <c r="B119" t="s">
        <v>1207</v>
      </c>
      <c r="C119" t="s">
        <v>1122</v>
      </c>
    </row>
    <row r="120" spans="1:3" x14ac:dyDescent="0.3">
      <c r="A120" t="s">
        <v>306</v>
      </c>
      <c r="B120" t="s">
        <v>1208</v>
      </c>
      <c r="C120" t="s">
        <v>1122</v>
      </c>
    </row>
    <row r="121" spans="1:3" x14ac:dyDescent="0.3">
      <c r="A121" t="s">
        <v>571</v>
      </c>
      <c r="B121" t="s">
        <v>1209</v>
      </c>
      <c r="C121" t="s">
        <v>1122</v>
      </c>
    </row>
    <row r="122" spans="1:3" x14ac:dyDescent="0.3">
      <c r="A122" t="s">
        <v>576</v>
      </c>
      <c r="B122" t="s">
        <v>1150</v>
      </c>
      <c r="C122" t="s">
        <v>1129</v>
      </c>
    </row>
    <row r="123" spans="1:3" x14ac:dyDescent="0.3">
      <c r="A123" t="s">
        <v>581</v>
      </c>
      <c r="B123" t="s">
        <v>1144</v>
      </c>
      <c r="C123" t="s">
        <v>1129</v>
      </c>
    </row>
    <row r="124" spans="1:3" x14ac:dyDescent="0.3">
      <c r="A124" t="s">
        <v>428</v>
      </c>
      <c r="B124" t="s">
        <v>1151</v>
      </c>
      <c r="C124" t="s">
        <v>1129</v>
      </c>
    </row>
    <row r="125" spans="1:3" x14ac:dyDescent="0.3">
      <c r="A125" t="s">
        <v>155</v>
      </c>
      <c r="B125" t="s">
        <v>1152</v>
      </c>
      <c r="C125" t="s">
        <v>1129</v>
      </c>
    </row>
    <row r="126" spans="1:3" x14ac:dyDescent="0.3">
      <c r="A126" t="s">
        <v>229</v>
      </c>
      <c r="B126" t="s">
        <v>1153</v>
      </c>
      <c r="C126" t="s">
        <v>1129</v>
      </c>
    </row>
    <row r="127" spans="1:3" x14ac:dyDescent="0.3">
      <c r="A127" t="s">
        <v>209</v>
      </c>
      <c r="B127" t="s">
        <v>1154</v>
      </c>
      <c r="C127" t="s">
        <v>1129</v>
      </c>
    </row>
    <row r="128" spans="1:3" x14ac:dyDescent="0.3">
      <c r="A128" t="s">
        <v>169</v>
      </c>
      <c r="B128" t="s">
        <v>1180</v>
      </c>
      <c r="C128" t="s">
        <v>1122</v>
      </c>
    </row>
    <row r="129" spans="1:3" x14ac:dyDescent="0.3">
      <c r="A129" t="s">
        <v>599</v>
      </c>
      <c r="B129" t="s">
        <v>1210</v>
      </c>
      <c r="C129" t="s">
        <v>1122</v>
      </c>
    </row>
    <row r="130" spans="1:3" x14ac:dyDescent="0.3">
      <c r="A130" t="s">
        <v>602</v>
      </c>
      <c r="B130" t="s">
        <v>1211</v>
      </c>
      <c r="C130" t="s">
        <v>1122</v>
      </c>
    </row>
    <row r="131" spans="1:3" x14ac:dyDescent="0.3">
      <c r="A131" t="s">
        <v>149</v>
      </c>
      <c r="B131" t="s">
        <v>1157</v>
      </c>
      <c r="C131" t="s">
        <v>1129</v>
      </c>
    </row>
    <row r="132" spans="1:3" x14ac:dyDescent="0.3">
      <c r="A132" t="s">
        <v>609</v>
      </c>
      <c r="B132" t="s">
        <v>1158</v>
      </c>
      <c r="C132" t="s">
        <v>1129</v>
      </c>
    </row>
    <row r="133" spans="1:3" x14ac:dyDescent="0.3">
      <c r="A133" t="s">
        <v>613</v>
      </c>
      <c r="B133" t="s">
        <v>1159</v>
      </c>
      <c r="C133" t="s">
        <v>1129</v>
      </c>
    </row>
    <row r="134" spans="1:3" x14ac:dyDescent="0.3">
      <c r="A134" t="s">
        <v>617</v>
      </c>
      <c r="B134" t="s">
        <v>1160</v>
      </c>
      <c r="C134" t="s">
        <v>1129</v>
      </c>
    </row>
    <row r="135" spans="1:3" x14ac:dyDescent="0.3">
      <c r="A135" t="s">
        <v>620</v>
      </c>
      <c r="B135" t="s">
        <v>1161</v>
      </c>
      <c r="C135" t="s">
        <v>1129</v>
      </c>
    </row>
    <row r="136" spans="1:3" x14ac:dyDescent="0.3">
      <c r="A136" t="s">
        <v>623</v>
      </c>
      <c r="B136" t="s">
        <v>1155</v>
      </c>
      <c r="C136" t="s">
        <v>1122</v>
      </c>
    </row>
    <row r="137" spans="1:3" x14ac:dyDescent="0.3">
      <c r="A137" t="s">
        <v>23</v>
      </c>
      <c r="B137" t="s">
        <v>1174</v>
      </c>
      <c r="C137" t="s">
        <v>1122</v>
      </c>
    </row>
    <row r="138" spans="1:3" x14ac:dyDescent="0.3">
      <c r="A138" t="s">
        <v>628</v>
      </c>
      <c r="B138" t="s">
        <v>1181</v>
      </c>
      <c r="C138" t="s">
        <v>1122</v>
      </c>
    </row>
    <row r="139" spans="1:3" x14ac:dyDescent="0.3">
      <c r="A139" t="s">
        <v>632</v>
      </c>
      <c r="B139" t="s">
        <v>1166</v>
      </c>
      <c r="C139" t="s">
        <v>1129</v>
      </c>
    </row>
    <row r="140" spans="1:3" x14ac:dyDescent="0.3">
      <c r="A140" t="s">
        <v>495</v>
      </c>
      <c r="B140" t="s">
        <v>1145</v>
      </c>
      <c r="C140" t="s">
        <v>1129</v>
      </c>
    </row>
    <row r="141" spans="1:3" x14ac:dyDescent="0.3">
      <c r="A141" t="s">
        <v>637</v>
      </c>
      <c r="B141" t="s">
        <v>1167</v>
      </c>
      <c r="C141" t="s">
        <v>1129</v>
      </c>
    </row>
    <row r="142" spans="1:3" x14ac:dyDescent="0.3">
      <c r="A142" t="s">
        <v>641</v>
      </c>
      <c r="B142" t="s">
        <v>1168</v>
      </c>
      <c r="C142" t="s">
        <v>1129</v>
      </c>
    </row>
    <row r="143" spans="1:3" x14ac:dyDescent="0.3">
      <c r="A143" t="s">
        <v>464</v>
      </c>
      <c r="B143" t="s">
        <v>1169</v>
      </c>
      <c r="C143" t="s">
        <v>1129</v>
      </c>
    </row>
    <row r="144" spans="1:3" x14ac:dyDescent="0.3">
      <c r="A144" t="s">
        <v>386</v>
      </c>
      <c r="B144" t="s">
        <v>1170</v>
      </c>
      <c r="C144" t="s">
        <v>1129</v>
      </c>
    </row>
    <row r="145" spans="1:3" x14ac:dyDescent="0.3">
      <c r="A145" t="s">
        <v>571</v>
      </c>
      <c r="B145" t="s">
        <v>1136</v>
      </c>
      <c r="C145" t="s">
        <v>1122</v>
      </c>
    </row>
    <row r="146" spans="1:3" x14ac:dyDescent="0.3">
      <c r="A146" t="s">
        <v>655</v>
      </c>
      <c r="B146" t="s">
        <v>1126</v>
      </c>
      <c r="C146" t="s">
        <v>1122</v>
      </c>
    </row>
    <row r="147" spans="1:3" x14ac:dyDescent="0.3">
      <c r="A147" t="s">
        <v>658</v>
      </c>
      <c r="B147" t="s">
        <v>1212</v>
      </c>
      <c r="C147" t="s">
        <v>1122</v>
      </c>
    </row>
    <row r="148" spans="1:3" x14ac:dyDescent="0.3">
      <c r="A148" t="s">
        <v>661</v>
      </c>
      <c r="B148" t="s">
        <v>1123</v>
      </c>
      <c r="C148" t="s">
        <v>1122</v>
      </c>
    </row>
    <row r="149" spans="1:3" x14ac:dyDescent="0.3">
      <c r="A149" t="s">
        <v>664</v>
      </c>
      <c r="B149" t="s">
        <v>1175</v>
      </c>
      <c r="C149" t="s">
        <v>1129</v>
      </c>
    </row>
    <row r="150" spans="1:3" x14ac:dyDescent="0.3">
      <c r="A150" t="s">
        <v>667</v>
      </c>
      <c r="B150" t="s">
        <v>1176</v>
      </c>
      <c r="C150" t="s">
        <v>1129</v>
      </c>
    </row>
    <row r="151" spans="1:3" x14ac:dyDescent="0.3">
      <c r="A151" t="s">
        <v>671</v>
      </c>
      <c r="B151" t="s">
        <v>1177</v>
      </c>
      <c r="C151" t="s">
        <v>1129</v>
      </c>
    </row>
    <row r="152" spans="1:3" x14ac:dyDescent="0.3">
      <c r="A152" t="s">
        <v>422</v>
      </c>
      <c r="B152" t="s">
        <v>1178</v>
      </c>
      <c r="C152" t="s">
        <v>1129</v>
      </c>
    </row>
    <row r="153" spans="1:3" x14ac:dyDescent="0.3">
      <c r="A153" t="s">
        <v>294</v>
      </c>
      <c r="B153" t="s">
        <v>1179</v>
      </c>
      <c r="C153" t="s">
        <v>1129</v>
      </c>
    </row>
    <row r="154" spans="1:3" x14ac:dyDescent="0.3">
      <c r="A154" t="s">
        <v>680</v>
      </c>
      <c r="B154" t="s">
        <v>1187</v>
      </c>
      <c r="C154" t="s">
        <v>1122</v>
      </c>
    </row>
    <row r="155" spans="1:3" x14ac:dyDescent="0.3">
      <c r="A155" t="s">
        <v>683</v>
      </c>
      <c r="B155" t="s">
        <v>1213</v>
      </c>
      <c r="C155" t="s">
        <v>1122</v>
      </c>
    </row>
    <row r="156" spans="1:3" x14ac:dyDescent="0.3">
      <c r="A156" t="s">
        <v>686</v>
      </c>
      <c r="B156" t="s">
        <v>1182</v>
      </c>
      <c r="C156" t="s">
        <v>1129</v>
      </c>
    </row>
    <row r="157" spans="1:3" x14ac:dyDescent="0.3">
      <c r="A157" t="s">
        <v>689</v>
      </c>
      <c r="B157" t="s">
        <v>1146</v>
      </c>
      <c r="C157" t="s">
        <v>1129</v>
      </c>
    </row>
    <row r="158" spans="1:3" x14ac:dyDescent="0.3">
      <c r="A158" t="s">
        <v>692</v>
      </c>
      <c r="B158" t="s">
        <v>1183</v>
      </c>
      <c r="C158" t="s">
        <v>1129</v>
      </c>
    </row>
    <row r="159" spans="1:3" x14ac:dyDescent="0.3">
      <c r="A159" t="s">
        <v>695</v>
      </c>
      <c r="B159" t="s">
        <v>1184</v>
      </c>
      <c r="C159" t="s">
        <v>1129</v>
      </c>
    </row>
    <row r="160" spans="1:3" x14ac:dyDescent="0.3">
      <c r="A160" t="s">
        <v>370</v>
      </c>
      <c r="B160" t="s">
        <v>1185</v>
      </c>
      <c r="C160" t="s">
        <v>1129</v>
      </c>
    </row>
    <row r="161" spans="1:3" x14ac:dyDescent="0.3">
      <c r="A161" t="s">
        <v>397</v>
      </c>
      <c r="B161" t="s">
        <v>1186</v>
      </c>
      <c r="C161" t="s">
        <v>1129</v>
      </c>
    </row>
    <row r="162" spans="1:3" x14ac:dyDescent="0.3">
      <c r="A162" t="s">
        <v>704</v>
      </c>
      <c r="B162" t="s">
        <v>1214</v>
      </c>
      <c r="C162" t="s">
        <v>1122</v>
      </c>
    </row>
    <row r="163" spans="1:3" x14ac:dyDescent="0.3">
      <c r="A163" t="s">
        <v>707</v>
      </c>
      <c r="B163" t="s">
        <v>1214</v>
      </c>
      <c r="C163" t="s">
        <v>1122</v>
      </c>
    </row>
    <row r="164" spans="1:3" x14ac:dyDescent="0.3">
      <c r="A164" t="s">
        <v>710</v>
      </c>
      <c r="B164" t="s">
        <v>1215</v>
      </c>
      <c r="C164" t="s">
        <v>1122</v>
      </c>
    </row>
    <row r="165" spans="1:3" x14ac:dyDescent="0.3">
      <c r="A165" t="s">
        <v>713</v>
      </c>
      <c r="B165" t="s">
        <v>1188</v>
      </c>
      <c r="C165" t="s">
        <v>1129</v>
      </c>
    </row>
    <row r="166" spans="1:3" x14ac:dyDescent="0.3">
      <c r="A166" t="s">
        <v>247</v>
      </c>
      <c r="B166" t="s">
        <v>1189</v>
      </c>
      <c r="C166" t="s">
        <v>1129</v>
      </c>
    </row>
    <row r="167" spans="1:3" x14ac:dyDescent="0.3">
      <c r="A167" t="s">
        <v>720</v>
      </c>
      <c r="B167" t="s">
        <v>1190</v>
      </c>
      <c r="C167" t="s">
        <v>1129</v>
      </c>
    </row>
    <row r="168" spans="1:3" x14ac:dyDescent="0.3">
      <c r="A168" t="s">
        <v>723</v>
      </c>
      <c r="B168" t="s">
        <v>1191</v>
      </c>
      <c r="C168" t="s">
        <v>1129</v>
      </c>
    </row>
    <row r="169" spans="1:3" x14ac:dyDescent="0.3">
      <c r="A169" t="s">
        <v>727</v>
      </c>
      <c r="B169" t="s">
        <v>1192</v>
      </c>
      <c r="C169" t="s">
        <v>1129</v>
      </c>
    </row>
    <row r="170" spans="1:3" x14ac:dyDescent="0.3">
      <c r="A170" t="s">
        <v>730</v>
      </c>
      <c r="B170" t="s">
        <v>1135</v>
      </c>
      <c r="C170" t="s">
        <v>1122</v>
      </c>
    </row>
    <row r="171" spans="1:3" x14ac:dyDescent="0.3">
      <c r="A171" t="s">
        <v>260</v>
      </c>
      <c r="B171" t="s">
        <v>1202</v>
      </c>
      <c r="C171" t="s">
        <v>1122</v>
      </c>
    </row>
    <row r="172" spans="1:3" x14ac:dyDescent="0.3">
      <c r="A172" t="s">
        <v>383</v>
      </c>
      <c r="B172" t="s">
        <v>1216</v>
      </c>
      <c r="C172" t="s">
        <v>1122</v>
      </c>
    </row>
    <row r="173" spans="1:3" x14ac:dyDescent="0.3">
      <c r="A173" t="s">
        <v>740</v>
      </c>
      <c r="B173" t="s">
        <v>1196</v>
      </c>
      <c r="C173" t="s">
        <v>1129</v>
      </c>
    </row>
    <row r="174" spans="1:3" x14ac:dyDescent="0.3">
      <c r="A174" t="s">
        <v>743</v>
      </c>
      <c r="B174" t="s">
        <v>1147</v>
      </c>
      <c r="C174" t="s">
        <v>1129</v>
      </c>
    </row>
    <row r="175" spans="1:3" x14ac:dyDescent="0.3">
      <c r="A175" t="s">
        <v>428</v>
      </c>
      <c r="B175" t="s">
        <v>1197</v>
      </c>
      <c r="C175" t="s">
        <v>1129</v>
      </c>
    </row>
    <row r="176" spans="1:3" x14ac:dyDescent="0.3">
      <c r="A176" t="s">
        <v>144</v>
      </c>
      <c r="B176" t="s">
        <v>1198</v>
      </c>
      <c r="C176" t="s">
        <v>1129</v>
      </c>
    </row>
    <row r="177" spans="1:3" x14ac:dyDescent="0.3">
      <c r="A177" t="s">
        <v>356</v>
      </c>
      <c r="B177" t="s">
        <v>1199</v>
      </c>
      <c r="C177" t="s">
        <v>1129</v>
      </c>
    </row>
    <row r="178" spans="1:3" x14ac:dyDescent="0.3">
      <c r="A178" t="s">
        <v>753</v>
      </c>
      <c r="B178" t="s">
        <v>1200</v>
      </c>
      <c r="C178" t="s">
        <v>1129</v>
      </c>
    </row>
    <row r="179" spans="1:3" x14ac:dyDescent="0.3">
      <c r="A179" t="s">
        <v>757</v>
      </c>
      <c r="B179" t="s">
        <v>1217</v>
      </c>
      <c r="C179" t="s">
        <v>1122</v>
      </c>
    </row>
    <row r="180" spans="1:3" x14ac:dyDescent="0.3">
      <c r="A180" t="s">
        <v>73</v>
      </c>
      <c r="B180" t="s">
        <v>1201</v>
      </c>
      <c r="C180" t="s">
        <v>1122</v>
      </c>
    </row>
    <row r="181" spans="1:3" x14ac:dyDescent="0.3">
      <c r="A181" t="s">
        <v>764</v>
      </c>
      <c r="B181" t="s">
        <v>1212</v>
      </c>
      <c r="C181" t="s">
        <v>1122</v>
      </c>
    </row>
    <row r="182" spans="1:3" x14ac:dyDescent="0.3">
      <c r="A182" t="s">
        <v>767</v>
      </c>
      <c r="B182" t="s">
        <v>1164</v>
      </c>
      <c r="C182" t="s">
        <v>1122</v>
      </c>
    </row>
    <row r="183" spans="1:3" x14ac:dyDescent="0.3">
      <c r="A183" t="s">
        <v>771</v>
      </c>
      <c r="B183" t="s">
        <v>1130</v>
      </c>
      <c r="C183" t="s">
        <v>1129</v>
      </c>
    </row>
    <row r="184" spans="1:3" x14ac:dyDescent="0.3">
      <c r="A184" t="s">
        <v>774</v>
      </c>
      <c r="B184" t="s">
        <v>1131</v>
      </c>
      <c r="C184" t="s">
        <v>1129</v>
      </c>
    </row>
    <row r="185" spans="1:3" x14ac:dyDescent="0.3">
      <c r="A185" t="s">
        <v>215</v>
      </c>
      <c r="B185" t="s">
        <v>1132</v>
      </c>
      <c r="C185" t="s">
        <v>1129</v>
      </c>
    </row>
    <row r="186" spans="1:3" x14ac:dyDescent="0.3">
      <c r="A186" t="s">
        <v>370</v>
      </c>
      <c r="B186" t="s">
        <v>1133</v>
      </c>
      <c r="C186" t="s">
        <v>1129</v>
      </c>
    </row>
    <row r="187" spans="1:3" x14ac:dyDescent="0.3">
      <c r="A187" t="s">
        <v>247</v>
      </c>
      <c r="B187" t="s">
        <v>1134</v>
      </c>
      <c r="C187" t="s">
        <v>1129</v>
      </c>
    </row>
    <row r="188" spans="1:3" x14ac:dyDescent="0.3">
      <c r="A188" t="s">
        <v>783</v>
      </c>
      <c r="B188" t="s">
        <v>1123</v>
      </c>
      <c r="C188" t="s">
        <v>1122</v>
      </c>
    </row>
    <row r="189" spans="1:3" x14ac:dyDescent="0.3">
      <c r="A189" t="s">
        <v>428</v>
      </c>
      <c r="B189" t="s">
        <v>1128</v>
      </c>
      <c r="C189" t="s">
        <v>1129</v>
      </c>
    </row>
    <row r="190" spans="1:3" x14ac:dyDescent="0.3">
      <c r="A190" t="s">
        <v>144</v>
      </c>
      <c r="B190" t="s">
        <v>1150</v>
      </c>
      <c r="C190" t="s">
        <v>1129</v>
      </c>
    </row>
    <row r="191" spans="1:3" x14ac:dyDescent="0.3">
      <c r="A191" t="s">
        <v>495</v>
      </c>
      <c r="B191" t="s">
        <v>1137</v>
      </c>
      <c r="C191" t="s">
        <v>1129</v>
      </c>
    </row>
    <row r="192" spans="1:3" x14ac:dyDescent="0.3">
      <c r="A192" t="s">
        <v>455</v>
      </c>
      <c r="B192" t="s">
        <v>1138</v>
      </c>
      <c r="C192" t="s">
        <v>1129</v>
      </c>
    </row>
    <row r="193" spans="1:3" x14ac:dyDescent="0.3">
      <c r="A193" t="s">
        <v>723</v>
      </c>
      <c r="B193" t="s">
        <v>1140</v>
      </c>
      <c r="C193" t="s">
        <v>1129</v>
      </c>
    </row>
    <row r="194" spans="1:3" x14ac:dyDescent="0.3">
      <c r="A194" t="s">
        <v>806</v>
      </c>
      <c r="B194" t="s">
        <v>1193</v>
      </c>
      <c r="C194" t="s">
        <v>1122</v>
      </c>
    </row>
    <row r="195" spans="1:3" x14ac:dyDescent="0.3">
      <c r="A195" t="s">
        <v>809</v>
      </c>
      <c r="B195" t="s">
        <v>1217</v>
      </c>
      <c r="C195" t="s">
        <v>1122</v>
      </c>
    </row>
    <row r="196" spans="1:3" x14ac:dyDescent="0.3">
      <c r="A196" t="s">
        <v>812</v>
      </c>
      <c r="B196" t="s">
        <v>1218</v>
      </c>
      <c r="C196" t="s">
        <v>1122</v>
      </c>
    </row>
    <row r="197" spans="1:3" x14ac:dyDescent="0.3">
      <c r="A197" t="s">
        <v>815</v>
      </c>
      <c r="B197" t="s">
        <v>1143</v>
      </c>
      <c r="C197" t="s">
        <v>1129</v>
      </c>
    </row>
    <row r="198" spans="1:3" x14ac:dyDescent="0.3">
      <c r="A198" t="s">
        <v>818</v>
      </c>
      <c r="B198" t="s">
        <v>1144</v>
      </c>
      <c r="C198" t="s">
        <v>1129</v>
      </c>
    </row>
    <row r="199" spans="1:3" x14ac:dyDescent="0.3">
      <c r="A199" t="s">
        <v>667</v>
      </c>
      <c r="B199" t="s">
        <v>1145</v>
      </c>
      <c r="C199" t="s">
        <v>1129</v>
      </c>
    </row>
    <row r="200" spans="1:3" x14ac:dyDescent="0.3">
      <c r="A200" t="s">
        <v>743</v>
      </c>
      <c r="B200" t="s">
        <v>1146</v>
      </c>
      <c r="C200" t="s">
        <v>1129</v>
      </c>
    </row>
    <row r="201" spans="1:3" x14ac:dyDescent="0.3">
      <c r="A201" t="s">
        <v>686</v>
      </c>
      <c r="B201" t="s">
        <v>1147</v>
      </c>
      <c r="C201" t="s">
        <v>1129</v>
      </c>
    </row>
    <row r="202" spans="1:3" x14ac:dyDescent="0.3">
      <c r="A202" t="s">
        <v>833</v>
      </c>
      <c r="B202" t="s">
        <v>1204</v>
      </c>
      <c r="C202" t="s">
        <v>1122</v>
      </c>
    </row>
    <row r="203" spans="1:3" x14ac:dyDescent="0.3">
      <c r="A203" t="s">
        <v>836</v>
      </c>
      <c r="B203" t="s">
        <v>1149</v>
      </c>
      <c r="C203" t="s">
        <v>1122</v>
      </c>
    </row>
    <row r="204" spans="1:3" x14ac:dyDescent="0.3">
      <c r="A204" t="s">
        <v>840</v>
      </c>
      <c r="B204" t="s">
        <v>1150</v>
      </c>
      <c r="C204" t="s">
        <v>1129</v>
      </c>
    </row>
    <row r="205" spans="1:3" x14ac:dyDescent="0.3">
      <c r="A205" t="s">
        <v>843</v>
      </c>
      <c r="B205" t="s">
        <v>1151</v>
      </c>
      <c r="C205" t="s">
        <v>1129</v>
      </c>
    </row>
    <row r="206" spans="1:3" x14ac:dyDescent="0.3">
      <c r="A206" t="s">
        <v>850</v>
      </c>
      <c r="B206" t="s">
        <v>1151</v>
      </c>
      <c r="C206" t="s">
        <v>1129</v>
      </c>
    </row>
    <row r="207" spans="1:3" x14ac:dyDescent="0.3">
      <c r="A207" t="s">
        <v>637</v>
      </c>
      <c r="B207" t="s">
        <v>1152</v>
      </c>
      <c r="C207" t="s">
        <v>1129</v>
      </c>
    </row>
    <row r="208" spans="1:3" x14ac:dyDescent="0.3">
      <c r="A208" t="s">
        <v>386</v>
      </c>
      <c r="B208" t="s">
        <v>1154</v>
      </c>
      <c r="C208" t="s">
        <v>1129</v>
      </c>
    </row>
    <row r="209" spans="1:3" x14ac:dyDescent="0.3">
      <c r="A209" t="s">
        <v>862</v>
      </c>
      <c r="B209" t="s">
        <v>1165</v>
      </c>
      <c r="C209" t="s">
        <v>1122</v>
      </c>
    </row>
    <row r="210" spans="1:3" x14ac:dyDescent="0.3">
      <c r="A210" t="s">
        <v>442</v>
      </c>
      <c r="B210" t="s">
        <v>1171</v>
      </c>
      <c r="C210" t="s">
        <v>1122</v>
      </c>
    </row>
    <row r="211" spans="1:3" x14ac:dyDescent="0.3">
      <c r="A211" t="s">
        <v>431</v>
      </c>
      <c r="B211" t="s">
        <v>1157</v>
      </c>
      <c r="C211" t="s">
        <v>1129</v>
      </c>
    </row>
    <row r="212" spans="1:3" x14ac:dyDescent="0.3">
      <c r="A212" t="s">
        <v>727</v>
      </c>
      <c r="B212" t="s">
        <v>1159</v>
      </c>
      <c r="C212" t="s">
        <v>1129</v>
      </c>
    </row>
    <row r="213" spans="1:3" x14ac:dyDescent="0.3">
      <c r="A213" t="s">
        <v>692</v>
      </c>
      <c r="B213" t="s">
        <v>1160</v>
      </c>
      <c r="C213" t="s">
        <v>1129</v>
      </c>
    </row>
    <row r="214" spans="1:3" x14ac:dyDescent="0.3">
      <c r="A214" t="s">
        <v>555</v>
      </c>
      <c r="B214" t="s">
        <v>1161</v>
      </c>
      <c r="C214" t="s">
        <v>1129</v>
      </c>
    </row>
    <row r="215" spans="1:3" x14ac:dyDescent="0.3">
      <c r="A215" t="s">
        <v>623</v>
      </c>
      <c r="B215" t="s">
        <v>1180</v>
      </c>
      <c r="C215" t="s">
        <v>1122</v>
      </c>
    </row>
    <row r="216" spans="1:3" x14ac:dyDescent="0.3">
      <c r="A216" t="s">
        <v>883</v>
      </c>
      <c r="B216" t="s">
        <v>1219</v>
      </c>
      <c r="C216" t="s">
        <v>1122</v>
      </c>
    </row>
    <row r="217" spans="1:3" x14ac:dyDescent="0.3">
      <c r="A217" t="s">
        <v>186</v>
      </c>
      <c r="B217" t="s">
        <v>1166</v>
      </c>
      <c r="C217" t="s">
        <v>1129</v>
      </c>
    </row>
    <row r="218" spans="1:3" x14ac:dyDescent="0.3">
      <c r="A218" t="s">
        <v>397</v>
      </c>
      <c r="B218" t="s">
        <v>1167</v>
      </c>
      <c r="C218" t="s">
        <v>1129</v>
      </c>
    </row>
    <row r="219" spans="1:3" x14ac:dyDescent="0.3">
      <c r="A219" t="s">
        <v>774</v>
      </c>
      <c r="B219" t="s">
        <v>1152</v>
      </c>
      <c r="C219" t="s">
        <v>1129</v>
      </c>
    </row>
    <row r="220" spans="1:3" x14ac:dyDescent="0.3">
      <c r="A220" t="s">
        <v>695</v>
      </c>
      <c r="B220" t="s">
        <v>1168</v>
      </c>
      <c r="C220" t="s">
        <v>1129</v>
      </c>
    </row>
    <row r="221" spans="1:3" x14ac:dyDescent="0.3">
      <c r="A221" t="s">
        <v>740</v>
      </c>
      <c r="B221" t="s">
        <v>1169</v>
      </c>
      <c r="C221" t="s">
        <v>1129</v>
      </c>
    </row>
    <row r="222" spans="1:3" x14ac:dyDescent="0.3">
      <c r="A222" t="s">
        <v>84</v>
      </c>
      <c r="B222" t="s">
        <v>1170</v>
      </c>
      <c r="C222" t="s">
        <v>1129</v>
      </c>
    </row>
    <row r="223" spans="1:3" x14ac:dyDescent="0.3">
      <c r="A223" t="s">
        <v>904</v>
      </c>
      <c r="B223" t="s">
        <v>1209</v>
      </c>
      <c r="C223" t="s">
        <v>1122</v>
      </c>
    </row>
    <row r="224" spans="1:3" x14ac:dyDescent="0.3">
      <c r="A224" t="s">
        <v>155</v>
      </c>
      <c r="B224" t="s">
        <v>1175</v>
      </c>
      <c r="C224" t="s">
        <v>1129</v>
      </c>
    </row>
    <row r="225" spans="1:3" x14ac:dyDescent="0.3">
      <c r="A225" t="s">
        <v>356</v>
      </c>
      <c r="B225" t="s">
        <v>1176</v>
      </c>
      <c r="C225" t="s">
        <v>1129</v>
      </c>
    </row>
    <row r="226" spans="1:3" x14ac:dyDescent="0.3">
      <c r="A226" t="s">
        <v>916</v>
      </c>
      <c r="B226" t="s">
        <v>1177</v>
      </c>
      <c r="C226" t="s">
        <v>1129</v>
      </c>
    </row>
    <row r="227" spans="1:3" x14ac:dyDescent="0.3">
      <c r="A227" t="s">
        <v>499</v>
      </c>
      <c r="B227" t="s">
        <v>1178</v>
      </c>
      <c r="C227" t="s">
        <v>1129</v>
      </c>
    </row>
    <row r="228" spans="1:3" x14ac:dyDescent="0.3">
      <c r="A228" t="s">
        <v>428</v>
      </c>
      <c r="B228" t="s">
        <v>1179</v>
      </c>
      <c r="C228" t="s">
        <v>1129</v>
      </c>
    </row>
    <row r="229" spans="1:3" x14ac:dyDescent="0.3">
      <c r="A229" t="s">
        <v>924</v>
      </c>
      <c r="B229" t="s">
        <v>1126</v>
      </c>
      <c r="C229" t="s">
        <v>1122</v>
      </c>
    </row>
    <row r="230" spans="1:3" x14ac:dyDescent="0.3">
      <c r="A230" t="s">
        <v>933</v>
      </c>
      <c r="B230" t="s">
        <v>1220</v>
      </c>
      <c r="C230" t="s">
        <v>1122</v>
      </c>
    </row>
    <row r="231" spans="1:3" x14ac:dyDescent="0.3">
      <c r="A231" t="s">
        <v>620</v>
      </c>
      <c r="B231" t="s">
        <v>1182</v>
      </c>
      <c r="C231" t="s">
        <v>1129</v>
      </c>
    </row>
    <row r="232" spans="1:3" x14ac:dyDescent="0.3">
      <c r="A232" t="s">
        <v>943</v>
      </c>
      <c r="B232" t="s">
        <v>1183</v>
      </c>
      <c r="C232" t="s">
        <v>1129</v>
      </c>
    </row>
    <row r="233" spans="1:3" x14ac:dyDescent="0.3">
      <c r="A233" t="s">
        <v>531</v>
      </c>
      <c r="B233" t="s">
        <v>1153</v>
      </c>
      <c r="C233" t="s">
        <v>1129</v>
      </c>
    </row>
    <row r="234" spans="1:3" x14ac:dyDescent="0.3">
      <c r="A234" t="s">
        <v>393</v>
      </c>
      <c r="B234" t="s">
        <v>1184</v>
      </c>
      <c r="C234" t="s">
        <v>1129</v>
      </c>
    </row>
    <row r="235" spans="1:3" x14ac:dyDescent="0.3">
      <c r="A235" t="s">
        <v>641</v>
      </c>
      <c r="B235" t="s">
        <v>1185</v>
      </c>
      <c r="C235" t="s">
        <v>1129</v>
      </c>
    </row>
    <row r="236" spans="1:3" x14ac:dyDescent="0.3">
      <c r="A236" t="s">
        <v>774</v>
      </c>
      <c r="B236" t="s">
        <v>1186</v>
      </c>
      <c r="C236" t="s">
        <v>1129</v>
      </c>
    </row>
    <row r="237" spans="1:3" x14ac:dyDescent="0.3">
      <c r="A237" t="s">
        <v>683</v>
      </c>
      <c r="B237" t="s">
        <v>1207</v>
      </c>
      <c r="C237" t="s">
        <v>1122</v>
      </c>
    </row>
    <row r="238" spans="1:3" x14ac:dyDescent="0.3">
      <c r="A238" t="s">
        <v>968</v>
      </c>
      <c r="B238" t="s">
        <v>1220</v>
      </c>
      <c r="C238" t="s">
        <v>1122</v>
      </c>
    </row>
    <row r="239" spans="1:3" x14ac:dyDescent="0.3">
      <c r="A239" t="s">
        <v>972</v>
      </c>
      <c r="B239" t="s">
        <v>1216</v>
      </c>
      <c r="C239" t="s">
        <v>1122</v>
      </c>
    </row>
    <row r="240" spans="1:3" x14ac:dyDescent="0.3">
      <c r="A240" t="s">
        <v>464</v>
      </c>
      <c r="B240" t="s">
        <v>1188</v>
      </c>
      <c r="C240" t="s">
        <v>1129</v>
      </c>
    </row>
    <row r="241" spans="1:3" x14ac:dyDescent="0.3">
      <c r="A241" t="s">
        <v>980</v>
      </c>
      <c r="B241" t="s">
        <v>1189</v>
      </c>
      <c r="C241" t="s">
        <v>1129</v>
      </c>
    </row>
    <row r="242" spans="1:3" x14ac:dyDescent="0.3">
      <c r="A242" t="s">
        <v>209</v>
      </c>
      <c r="B242" t="s">
        <v>1190</v>
      </c>
      <c r="C242" t="s">
        <v>1129</v>
      </c>
    </row>
    <row r="243" spans="1:3" x14ac:dyDescent="0.3">
      <c r="A243" t="s">
        <v>338</v>
      </c>
      <c r="B243" t="s">
        <v>1191</v>
      </c>
      <c r="C243" t="s">
        <v>1129</v>
      </c>
    </row>
    <row r="244" spans="1:3" x14ac:dyDescent="0.3">
      <c r="A244" t="s">
        <v>215</v>
      </c>
      <c r="B244" t="s">
        <v>1192</v>
      </c>
      <c r="C244" t="s">
        <v>1129</v>
      </c>
    </row>
    <row r="245" spans="1:3" x14ac:dyDescent="0.3">
      <c r="A245" t="s">
        <v>989</v>
      </c>
      <c r="B245" t="s">
        <v>1180</v>
      </c>
      <c r="C245" t="s">
        <v>1122</v>
      </c>
    </row>
    <row r="246" spans="1:3" x14ac:dyDescent="0.3">
      <c r="A246" t="s">
        <v>993</v>
      </c>
      <c r="B246" t="s">
        <v>1196</v>
      </c>
      <c r="C246" t="s">
        <v>1129</v>
      </c>
    </row>
    <row r="247" spans="1:3" x14ac:dyDescent="0.3">
      <c r="A247" t="s">
        <v>525</v>
      </c>
      <c r="B247" t="s">
        <v>1197</v>
      </c>
      <c r="C247" t="s">
        <v>1129</v>
      </c>
    </row>
    <row r="248" spans="1:3" x14ac:dyDescent="0.3">
      <c r="A248" t="s">
        <v>461</v>
      </c>
      <c r="B248" t="s">
        <v>1154</v>
      </c>
      <c r="C248" t="s">
        <v>1129</v>
      </c>
    </row>
    <row r="249" spans="1:3" x14ac:dyDescent="0.3">
      <c r="A249" t="s">
        <v>464</v>
      </c>
      <c r="B249" t="s">
        <v>1198</v>
      </c>
      <c r="C249" t="s">
        <v>1129</v>
      </c>
    </row>
    <row r="250" spans="1:3" x14ac:dyDescent="0.3">
      <c r="A250" t="s">
        <v>1003</v>
      </c>
      <c r="B250" t="s">
        <v>1199</v>
      </c>
      <c r="C250" t="s">
        <v>1129</v>
      </c>
    </row>
    <row r="251" spans="1:3" x14ac:dyDescent="0.3">
      <c r="A251" t="s">
        <v>695</v>
      </c>
      <c r="B251" t="s">
        <v>1200</v>
      </c>
      <c r="C251" t="s">
        <v>1129</v>
      </c>
    </row>
    <row r="252" spans="1:3" x14ac:dyDescent="0.3">
      <c r="A252" t="s">
        <v>1012</v>
      </c>
      <c r="B252" t="s">
        <v>1217</v>
      </c>
      <c r="C252" t="s">
        <v>1122</v>
      </c>
    </row>
    <row r="253" spans="1:3" x14ac:dyDescent="0.3">
      <c r="A253" t="s">
        <v>1015</v>
      </c>
      <c r="B253" t="s">
        <v>1121</v>
      </c>
      <c r="C253" t="s">
        <v>1122</v>
      </c>
    </row>
    <row r="254" spans="1:3" x14ac:dyDescent="0.3">
      <c r="A254" t="s">
        <v>425</v>
      </c>
      <c r="B254" t="s">
        <v>1130</v>
      </c>
      <c r="C254" t="s">
        <v>1129</v>
      </c>
    </row>
    <row r="255" spans="1:3" x14ac:dyDescent="0.3">
      <c r="A255" t="s">
        <v>386</v>
      </c>
      <c r="B255" t="s">
        <v>1131</v>
      </c>
      <c r="C255" t="s">
        <v>1129</v>
      </c>
    </row>
    <row r="256" spans="1:3" x14ac:dyDescent="0.3">
      <c r="A256" t="s">
        <v>774</v>
      </c>
      <c r="B256" t="s">
        <v>1132</v>
      </c>
      <c r="C256" t="s">
        <v>1129</v>
      </c>
    </row>
    <row r="257" spans="1:3" x14ac:dyDescent="0.3">
      <c r="A257" t="s">
        <v>160</v>
      </c>
      <c r="B257" t="s">
        <v>1133</v>
      </c>
      <c r="C257" t="s">
        <v>1129</v>
      </c>
    </row>
    <row r="258" spans="1:3" x14ac:dyDescent="0.3">
      <c r="A258" t="s">
        <v>815</v>
      </c>
      <c r="B258" t="s">
        <v>1134</v>
      </c>
      <c r="C258" t="s">
        <v>1129</v>
      </c>
    </row>
    <row r="259" spans="1:3" x14ac:dyDescent="0.3">
      <c r="A259" t="s">
        <v>1032</v>
      </c>
      <c r="B259" t="s">
        <v>1156</v>
      </c>
      <c r="C259" t="s">
        <v>1122</v>
      </c>
    </row>
    <row r="260" spans="1:3" x14ac:dyDescent="0.3">
      <c r="A260" t="s">
        <v>628</v>
      </c>
      <c r="B260" t="s">
        <v>1202</v>
      </c>
      <c r="C260" t="s">
        <v>1122</v>
      </c>
    </row>
    <row r="261" spans="1:3" x14ac:dyDescent="0.3">
      <c r="A261" t="s">
        <v>1037</v>
      </c>
      <c r="B261" t="s">
        <v>1128</v>
      </c>
      <c r="C261" t="s">
        <v>1129</v>
      </c>
    </row>
    <row r="262" spans="1:3" x14ac:dyDescent="0.3">
      <c r="A262" t="s">
        <v>1041</v>
      </c>
      <c r="B262" t="s">
        <v>1137</v>
      </c>
      <c r="C262" t="s">
        <v>1129</v>
      </c>
    </row>
    <row r="263" spans="1:3" x14ac:dyDescent="0.3">
      <c r="A263" t="s">
        <v>1048</v>
      </c>
      <c r="B263" t="s">
        <v>1157</v>
      </c>
      <c r="C263" t="s">
        <v>1129</v>
      </c>
    </row>
    <row r="264" spans="1:3" x14ac:dyDescent="0.3">
      <c r="A264" t="s">
        <v>1051</v>
      </c>
      <c r="B264" t="s">
        <v>1138</v>
      </c>
      <c r="C264" t="s">
        <v>1129</v>
      </c>
    </row>
    <row r="265" spans="1:3" x14ac:dyDescent="0.3">
      <c r="A265" t="s">
        <v>425</v>
      </c>
      <c r="B265" t="s">
        <v>1139</v>
      </c>
      <c r="C265" t="s">
        <v>1129</v>
      </c>
    </row>
    <row r="266" spans="1:3" x14ac:dyDescent="0.3">
      <c r="A266" t="s">
        <v>144</v>
      </c>
      <c r="B266" t="s">
        <v>1140</v>
      </c>
      <c r="C266" t="s">
        <v>1129</v>
      </c>
    </row>
    <row r="267" spans="1:3" x14ac:dyDescent="0.3">
      <c r="A267" t="s">
        <v>1059</v>
      </c>
      <c r="B267" t="s">
        <v>1156</v>
      </c>
      <c r="C267" t="s">
        <v>1122</v>
      </c>
    </row>
    <row r="268" spans="1:3" x14ac:dyDescent="0.3">
      <c r="A268" t="s">
        <v>1065</v>
      </c>
      <c r="B268" t="s">
        <v>1193</v>
      </c>
      <c r="C268" t="s">
        <v>1122</v>
      </c>
    </row>
    <row r="269" spans="1:3" x14ac:dyDescent="0.3">
      <c r="A269" t="s">
        <v>542</v>
      </c>
      <c r="B269" t="s">
        <v>1126</v>
      </c>
      <c r="C269" t="s">
        <v>1122</v>
      </c>
    </row>
    <row r="270" spans="1:3" x14ac:dyDescent="0.3">
      <c r="A270" t="s">
        <v>225</v>
      </c>
      <c r="B270" t="s">
        <v>1211</v>
      </c>
      <c r="C270" t="s">
        <v>1122</v>
      </c>
    </row>
    <row r="271" spans="1:3" x14ac:dyDescent="0.3">
      <c r="A271" t="s">
        <v>671</v>
      </c>
      <c r="B271" t="s">
        <v>1143</v>
      </c>
      <c r="C271" t="s">
        <v>1129</v>
      </c>
    </row>
    <row r="272" spans="1:3" x14ac:dyDescent="0.3">
      <c r="A272" t="s">
        <v>362</v>
      </c>
      <c r="B272" t="s">
        <v>1144</v>
      </c>
      <c r="C272" t="s">
        <v>1129</v>
      </c>
    </row>
    <row r="273" spans="1:3" x14ac:dyDescent="0.3">
      <c r="A273" t="s">
        <v>1041</v>
      </c>
      <c r="B273" t="s">
        <v>1145</v>
      </c>
      <c r="C273" t="s">
        <v>1129</v>
      </c>
    </row>
    <row r="274" spans="1:3" x14ac:dyDescent="0.3">
      <c r="A274" t="s">
        <v>740</v>
      </c>
      <c r="B274" t="s">
        <v>1146</v>
      </c>
      <c r="C274" t="s">
        <v>1129</v>
      </c>
    </row>
    <row r="275" spans="1:3" x14ac:dyDescent="0.3">
      <c r="A275" t="s">
        <v>252</v>
      </c>
      <c r="B275" t="s">
        <v>1147</v>
      </c>
      <c r="C275" t="s">
        <v>1129</v>
      </c>
    </row>
    <row r="276" spans="1:3" x14ac:dyDescent="0.3">
      <c r="A276" t="s">
        <v>1221</v>
      </c>
      <c r="B276" t="s">
        <v>1203</v>
      </c>
      <c r="C276" t="s">
        <v>1122</v>
      </c>
    </row>
    <row r="277" spans="1:3" x14ac:dyDescent="0.3">
      <c r="A277" t="s">
        <v>1222</v>
      </c>
      <c r="B277" t="s">
        <v>1209</v>
      </c>
      <c r="C277" t="s">
        <v>1122</v>
      </c>
    </row>
    <row r="278" spans="1:3" x14ac:dyDescent="0.3">
      <c r="A278" t="s">
        <v>57</v>
      </c>
      <c r="B278" t="s">
        <v>1205</v>
      </c>
      <c r="C278" t="s">
        <v>1122</v>
      </c>
    </row>
    <row r="279" spans="1:3" x14ac:dyDescent="0.3">
      <c r="A279" t="s">
        <v>843</v>
      </c>
      <c r="B279" t="s">
        <v>1150</v>
      </c>
      <c r="C279" t="s">
        <v>1129</v>
      </c>
    </row>
    <row r="280" spans="1:3" x14ac:dyDescent="0.3">
      <c r="A280" t="s">
        <v>229</v>
      </c>
      <c r="B280" t="s">
        <v>1151</v>
      </c>
      <c r="C280" t="s">
        <v>1129</v>
      </c>
    </row>
    <row r="281" spans="1:3" x14ac:dyDescent="0.3">
      <c r="A281" t="s">
        <v>1223</v>
      </c>
      <c r="B281" t="s">
        <v>1158</v>
      </c>
      <c r="C281" t="s">
        <v>1129</v>
      </c>
    </row>
    <row r="282" spans="1:3" x14ac:dyDescent="0.3">
      <c r="A282" t="s">
        <v>356</v>
      </c>
      <c r="B282" t="s">
        <v>1152</v>
      </c>
      <c r="C282" t="s">
        <v>1129</v>
      </c>
    </row>
    <row r="283" spans="1:3" x14ac:dyDescent="0.3">
      <c r="A283" t="s">
        <v>393</v>
      </c>
      <c r="B283" t="s">
        <v>1153</v>
      </c>
      <c r="C283" t="s">
        <v>1129</v>
      </c>
    </row>
    <row r="284" spans="1:3" x14ac:dyDescent="0.3">
      <c r="A284" t="s">
        <v>980</v>
      </c>
      <c r="B284" t="s">
        <v>1154</v>
      </c>
      <c r="C284" t="s">
        <v>1129</v>
      </c>
    </row>
    <row r="285" spans="1:3" x14ac:dyDescent="0.3">
      <c r="A285" t="s">
        <v>1224</v>
      </c>
      <c r="B285" t="s">
        <v>1162</v>
      </c>
      <c r="C285" t="s">
        <v>1122</v>
      </c>
    </row>
    <row r="286" spans="1:3" x14ac:dyDescent="0.3">
      <c r="A286" t="s">
        <v>215</v>
      </c>
      <c r="B286" t="s">
        <v>1157</v>
      </c>
      <c r="C286" t="s">
        <v>1129</v>
      </c>
    </row>
    <row r="287" spans="1:3" x14ac:dyDescent="0.3">
      <c r="A287" t="s">
        <v>641</v>
      </c>
      <c r="B287" t="s">
        <v>1158</v>
      </c>
      <c r="C287" t="s">
        <v>1129</v>
      </c>
    </row>
    <row r="288" spans="1:3" x14ac:dyDescent="0.3">
      <c r="A288" t="s">
        <v>422</v>
      </c>
      <c r="B288" t="s">
        <v>1159</v>
      </c>
      <c r="C288" t="s">
        <v>1129</v>
      </c>
    </row>
    <row r="289" spans="1:3" x14ac:dyDescent="0.3">
      <c r="A289" t="s">
        <v>525</v>
      </c>
      <c r="B289" t="s">
        <v>1160</v>
      </c>
      <c r="C289" t="s">
        <v>1129</v>
      </c>
    </row>
    <row r="290" spans="1:3" x14ac:dyDescent="0.3">
      <c r="A290" t="s">
        <v>547</v>
      </c>
      <c r="B290" t="s">
        <v>1161</v>
      </c>
      <c r="C290" t="s">
        <v>1129</v>
      </c>
    </row>
    <row r="291" spans="1:3" x14ac:dyDescent="0.3">
      <c r="A291" t="s">
        <v>1225</v>
      </c>
      <c r="B291" t="s">
        <v>1217</v>
      </c>
      <c r="C291" t="s">
        <v>1122</v>
      </c>
    </row>
    <row r="292" spans="1:3" x14ac:dyDescent="0.3">
      <c r="A292" t="s">
        <v>1032</v>
      </c>
      <c r="B292" t="s">
        <v>1212</v>
      </c>
      <c r="C292" t="s">
        <v>1122</v>
      </c>
    </row>
    <row r="293" spans="1:3" x14ac:dyDescent="0.3">
      <c r="A293" t="s">
        <v>1226</v>
      </c>
      <c r="B293" t="s">
        <v>1215</v>
      </c>
      <c r="C293" t="s">
        <v>1122</v>
      </c>
    </row>
    <row r="294" spans="1:3" x14ac:dyDescent="0.3">
      <c r="A294" t="s">
        <v>464</v>
      </c>
      <c r="B294" t="s">
        <v>1166</v>
      </c>
      <c r="C294" t="s">
        <v>1129</v>
      </c>
    </row>
    <row r="295" spans="1:3" x14ac:dyDescent="0.3">
      <c r="A295" t="s">
        <v>1037</v>
      </c>
      <c r="B295" t="s">
        <v>1167</v>
      </c>
      <c r="C295" t="s">
        <v>1129</v>
      </c>
    </row>
    <row r="296" spans="1:3" x14ac:dyDescent="0.3">
      <c r="A296" t="s">
        <v>386</v>
      </c>
      <c r="B296" t="s">
        <v>1159</v>
      </c>
      <c r="C296" t="s">
        <v>1129</v>
      </c>
    </row>
    <row r="297" spans="1:3" x14ac:dyDescent="0.3">
      <c r="A297" t="s">
        <v>743</v>
      </c>
      <c r="B297" t="s">
        <v>1168</v>
      </c>
      <c r="C297" t="s">
        <v>1129</v>
      </c>
    </row>
    <row r="298" spans="1:3" x14ac:dyDescent="0.3">
      <c r="A298" t="s">
        <v>1227</v>
      </c>
      <c r="B298" t="s">
        <v>1133</v>
      </c>
      <c r="C298" t="s">
        <v>1129</v>
      </c>
    </row>
    <row r="299" spans="1:3" x14ac:dyDescent="0.3">
      <c r="A299" t="s">
        <v>431</v>
      </c>
      <c r="B299" t="s">
        <v>1169</v>
      </c>
      <c r="C299" t="s">
        <v>1129</v>
      </c>
    </row>
    <row r="300" spans="1:3" x14ac:dyDescent="0.3">
      <c r="A300" t="s">
        <v>180</v>
      </c>
      <c r="B300" t="s">
        <v>1228</v>
      </c>
      <c r="C300" t="s">
        <v>1122</v>
      </c>
    </row>
    <row r="301" spans="1:3" x14ac:dyDescent="0.3">
      <c r="A301" t="s">
        <v>425</v>
      </c>
      <c r="B301" t="s">
        <v>1175</v>
      </c>
      <c r="C301" t="s">
        <v>1129</v>
      </c>
    </row>
    <row r="302" spans="1:3" x14ac:dyDescent="0.3">
      <c r="A302" t="s">
        <v>1229</v>
      </c>
      <c r="B302" t="s">
        <v>1176</v>
      </c>
      <c r="C302" t="s">
        <v>1129</v>
      </c>
    </row>
    <row r="303" spans="1:3" x14ac:dyDescent="0.3">
      <c r="A303" t="s">
        <v>695</v>
      </c>
      <c r="B303" t="s">
        <v>1177</v>
      </c>
      <c r="C303" t="s">
        <v>1129</v>
      </c>
    </row>
    <row r="304" spans="1:3" x14ac:dyDescent="0.3">
      <c r="A304" t="s">
        <v>686</v>
      </c>
      <c r="B304" t="s">
        <v>1178</v>
      </c>
      <c r="C304" t="s">
        <v>1129</v>
      </c>
    </row>
    <row r="305" spans="1:3" x14ac:dyDescent="0.3">
      <c r="A305" t="s">
        <v>338</v>
      </c>
      <c r="B305" t="s">
        <v>1179</v>
      </c>
      <c r="C305" t="s">
        <v>1129</v>
      </c>
    </row>
    <row r="306" spans="1:3" x14ac:dyDescent="0.3">
      <c r="A306" t="s">
        <v>1230</v>
      </c>
      <c r="B306" t="s">
        <v>1210</v>
      </c>
      <c r="C306" t="s">
        <v>1122</v>
      </c>
    </row>
    <row r="307" spans="1:3" x14ac:dyDescent="0.3">
      <c r="A307" t="s">
        <v>1231</v>
      </c>
      <c r="B307" t="s">
        <v>1174</v>
      </c>
      <c r="C307" t="s">
        <v>1122</v>
      </c>
    </row>
    <row r="308" spans="1:3" x14ac:dyDescent="0.3">
      <c r="A308" t="s">
        <v>655</v>
      </c>
      <c r="B308" t="s">
        <v>1217</v>
      </c>
      <c r="C308" t="s">
        <v>1122</v>
      </c>
    </row>
    <row r="309" spans="1:3" x14ac:dyDescent="0.3">
      <c r="A309" t="s">
        <v>1232</v>
      </c>
      <c r="B309" t="s">
        <v>1127</v>
      </c>
      <c r="C309" t="s">
        <v>1122</v>
      </c>
    </row>
    <row r="310" spans="1:3" x14ac:dyDescent="0.3">
      <c r="A310" t="s">
        <v>209</v>
      </c>
      <c r="B310" t="s">
        <v>1182</v>
      </c>
      <c r="C310" t="s">
        <v>1129</v>
      </c>
    </row>
    <row r="311" spans="1:3" x14ac:dyDescent="0.3">
      <c r="A311" t="s">
        <v>1233</v>
      </c>
      <c r="B311" t="s">
        <v>1183</v>
      </c>
      <c r="C311" t="s">
        <v>1129</v>
      </c>
    </row>
    <row r="312" spans="1:3" x14ac:dyDescent="0.3">
      <c r="A312" t="s">
        <v>229</v>
      </c>
      <c r="B312" t="s">
        <v>1160</v>
      </c>
      <c r="C312" t="s">
        <v>1129</v>
      </c>
    </row>
    <row r="313" spans="1:3" x14ac:dyDescent="0.3">
      <c r="A313" t="s">
        <v>111</v>
      </c>
      <c r="B313" t="s">
        <v>1184</v>
      </c>
      <c r="C313" t="s">
        <v>1129</v>
      </c>
    </row>
    <row r="314" spans="1:3" x14ac:dyDescent="0.3">
      <c r="A314" t="s">
        <v>620</v>
      </c>
      <c r="B314" t="s">
        <v>1185</v>
      </c>
      <c r="C314" t="s">
        <v>1129</v>
      </c>
    </row>
    <row r="315" spans="1:3" x14ac:dyDescent="0.3">
      <c r="A315" t="s">
        <v>993</v>
      </c>
      <c r="B315" t="s">
        <v>1186</v>
      </c>
      <c r="C315" t="s">
        <v>1129</v>
      </c>
    </row>
    <row r="316" spans="1:3" x14ac:dyDescent="0.3">
      <c r="A316" t="s">
        <v>1234</v>
      </c>
      <c r="B316" t="s">
        <v>1208</v>
      </c>
      <c r="C316" t="s">
        <v>1122</v>
      </c>
    </row>
    <row r="317" spans="1:3" x14ac:dyDescent="0.3">
      <c r="A317" t="s">
        <v>1226</v>
      </c>
      <c r="B317" t="s">
        <v>1142</v>
      </c>
      <c r="C317" t="s">
        <v>1122</v>
      </c>
    </row>
    <row r="318" spans="1:3" x14ac:dyDescent="0.3">
      <c r="A318" t="s">
        <v>220</v>
      </c>
      <c r="B318" t="s">
        <v>1174</v>
      </c>
      <c r="C318" t="s">
        <v>1122</v>
      </c>
    </row>
    <row r="319" spans="1:3" x14ac:dyDescent="0.3">
      <c r="A319" t="s">
        <v>943</v>
      </c>
      <c r="B319" t="s">
        <v>1188</v>
      </c>
      <c r="C319" t="s">
        <v>1129</v>
      </c>
    </row>
    <row r="320" spans="1:3" x14ac:dyDescent="0.3">
      <c r="A320" t="s">
        <v>632</v>
      </c>
      <c r="B320" t="s">
        <v>1189</v>
      </c>
      <c r="C320" t="s">
        <v>1129</v>
      </c>
    </row>
    <row r="321" spans="1:3" x14ac:dyDescent="0.3">
      <c r="A321" t="s">
        <v>84</v>
      </c>
      <c r="B321" t="s">
        <v>1190</v>
      </c>
      <c r="C321" t="s">
        <v>1129</v>
      </c>
    </row>
    <row r="322" spans="1:3" x14ac:dyDescent="0.3">
      <c r="A322" t="s">
        <v>144</v>
      </c>
      <c r="B322" t="s">
        <v>1191</v>
      </c>
      <c r="C322" t="s">
        <v>1129</v>
      </c>
    </row>
    <row r="323" spans="1:3" x14ac:dyDescent="0.3">
      <c r="A323" t="s">
        <v>1041</v>
      </c>
      <c r="B323" t="s">
        <v>1192</v>
      </c>
      <c r="C323" t="s">
        <v>1129</v>
      </c>
    </row>
    <row r="324" spans="1:3" x14ac:dyDescent="0.3">
      <c r="A324" t="s">
        <v>658</v>
      </c>
      <c r="B324" t="s">
        <v>1187</v>
      </c>
      <c r="C324" t="s">
        <v>1122</v>
      </c>
    </row>
    <row r="325" spans="1:3" x14ac:dyDescent="0.3">
      <c r="A325" t="s">
        <v>215</v>
      </c>
      <c r="B325" t="s">
        <v>1196</v>
      </c>
      <c r="C325" t="s">
        <v>1129</v>
      </c>
    </row>
    <row r="326" spans="1:3" x14ac:dyDescent="0.3">
      <c r="A326" t="s">
        <v>555</v>
      </c>
      <c r="B326" t="s">
        <v>1197</v>
      </c>
      <c r="C326" t="s">
        <v>1129</v>
      </c>
    </row>
    <row r="327" spans="1:3" x14ac:dyDescent="0.3">
      <c r="A327" t="s">
        <v>1235</v>
      </c>
      <c r="B327" t="s">
        <v>1161</v>
      </c>
      <c r="C327" t="s">
        <v>1129</v>
      </c>
    </row>
    <row r="328" spans="1:3" x14ac:dyDescent="0.3">
      <c r="A328" t="s">
        <v>356</v>
      </c>
      <c r="B328" t="s">
        <v>1198</v>
      </c>
      <c r="C328" t="s">
        <v>1129</v>
      </c>
    </row>
    <row r="329" spans="1:3" x14ac:dyDescent="0.3">
      <c r="A329" t="s">
        <v>525</v>
      </c>
      <c r="B329" t="s">
        <v>1199</v>
      </c>
      <c r="C329" t="s">
        <v>1129</v>
      </c>
    </row>
    <row r="330" spans="1:3" x14ac:dyDescent="0.3">
      <c r="A330" t="s">
        <v>397</v>
      </c>
      <c r="B330" t="s">
        <v>1200</v>
      </c>
      <c r="C330" t="s">
        <v>1129</v>
      </c>
    </row>
    <row r="331" spans="1:3" x14ac:dyDescent="0.3">
      <c r="A331" t="s">
        <v>1236</v>
      </c>
      <c r="B331" t="s">
        <v>1124</v>
      </c>
      <c r="C331" t="s">
        <v>1122</v>
      </c>
    </row>
    <row r="332" spans="1:3" x14ac:dyDescent="0.3">
      <c r="A332" t="s">
        <v>1237</v>
      </c>
      <c r="B332" t="s">
        <v>1187</v>
      </c>
      <c r="C332" t="s">
        <v>1122</v>
      </c>
    </row>
    <row r="333" spans="1:3" x14ac:dyDescent="0.3">
      <c r="A333" t="s">
        <v>1238</v>
      </c>
      <c r="B333" t="s">
        <v>1213</v>
      </c>
      <c r="C333" t="s">
        <v>1122</v>
      </c>
    </row>
    <row r="334" spans="1:3" x14ac:dyDescent="0.3">
      <c r="A334" t="s">
        <v>1234</v>
      </c>
      <c r="B334" t="s">
        <v>1195</v>
      </c>
      <c r="C334" t="s">
        <v>1122</v>
      </c>
    </row>
    <row r="335" spans="1:3" x14ac:dyDescent="0.3">
      <c r="A335" t="s">
        <v>1239</v>
      </c>
      <c r="B335" t="s">
        <v>1164</v>
      </c>
      <c r="C335" t="s">
        <v>1122</v>
      </c>
    </row>
    <row r="336" spans="1:3" x14ac:dyDescent="0.3">
      <c r="A336" t="s">
        <v>812</v>
      </c>
      <c r="B336" t="s">
        <v>1206</v>
      </c>
      <c r="C336" t="s">
        <v>1122</v>
      </c>
    </row>
    <row r="337" spans="1:3" x14ac:dyDescent="0.3">
      <c r="A337" t="s">
        <v>1240</v>
      </c>
      <c r="B337" t="s">
        <v>1130</v>
      </c>
      <c r="C337" t="s">
        <v>1129</v>
      </c>
    </row>
    <row r="338" spans="1:3" x14ac:dyDescent="0.3">
      <c r="A338" t="s">
        <v>713</v>
      </c>
      <c r="B338" t="s">
        <v>1131</v>
      </c>
      <c r="C338" t="s">
        <v>1129</v>
      </c>
    </row>
    <row r="339" spans="1:3" x14ac:dyDescent="0.3">
      <c r="A339" t="s">
        <v>422</v>
      </c>
      <c r="B339" t="s">
        <v>1133</v>
      </c>
      <c r="C339" t="s">
        <v>1129</v>
      </c>
    </row>
    <row r="340" spans="1:3" x14ac:dyDescent="0.3">
      <c r="A340" t="s">
        <v>464</v>
      </c>
      <c r="B340" t="s">
        <v>1134</v>
      </c>
      <c r="C340" t="s">
        <v>1129</v>
      </c>
    </row>
    <row r="341" spans="1:3" x14ac:dyDescent="0.3">
      <c r="A341" t="s">
        <v>1241</v>
      </c>
      <c r="B341" t="s">
        <v>1163</v>
      </c>
      <c r="C341" t="s">
        <v>1122</v>
      </c>
    </row>
    <row r="342" spans="1:3" x14ac:dyDescent="0.3">
      <c r="A342" t="s">
        <v>57</v>
      </c>
      <c r="B342" t="s">
        <v>1219</v>
      </c>
      <c r="C342" t="s">
        <v>1122</v>
      </c>
    </row>
    <row r="343" spans="1:3" x14ac:dyDescent="0.3">
      <c r="A343" t="s">
        <v>1015</v>
      </c>
      <c r="B343" t="s">
        <v>1195</v>
      </c>
      <c r="C343" t="s">
        <v>1122</v>
      </c>
    </row>
    <row r="344" spans="1:3" x14ac:dyDescent="0.3">
      <c r="A344" t="s">
        <v>1242</v>
      </c>
      <c r="B344" t="s">
        <v>1219</v>
      </c>
      <c r="C344" t="s">
        <v>1122</v>
      </c>
    </row>
    <row r="345" spans="1:3" x14ac:dyDescent="0.3">
      <c r="A345" t="s">
        <v>425</v>
      </c>
      <c r="B345" t="s">
        <v>1128</v>
      </c>
      <c r="C345" t="s">
        <v>1129</v>
      </c>
    </row>
    <row r="346" spans="1:3" x14ac:dyDescent="0.3">
      <c r="A346" t="s">
        <v>428</v>
      </c>
      <c r="B346" t="s">
        <v>1137</v>
      </c>
      <c r="C346" t="s">
        <v>1129</v>
      </c>
    </row>
    <row r="347" spans="1:3" x14ac:dyDescent="0.3">
      <c r="A347" t="s">
        <v>1037</v>
      </c>
      <c r="B347" t="s">
        <v>1166</v>
      </c>
      <c r="C347" t="s">
        <v>1129</v>
      </c>
    </row>
    <row r="348" spans="1:3" x14ac:dyDescent="0.3">
      <c r="A348" t="s">
        <v>620</v>
      </c>
      <c r="B348" t="s">
        <v>1138</v>
      </c>
      <c r="C348" t="s">
        <v>1129</v>
      </c>
    </row>
    <row r="349" spans="1:3" x14ac:dyDescent="0.3">
      <c r="A349" t="s">
        <v>209</v>
      </c>
      <c r="B349" t="s">
        <v>1139</v>
      </c>
      <c r="C349" t="s">
        <v>1129</v>
      </c>
    </row>
    <row r="350" spans="1:3" x14ac:dyDescent="0.3">
      <c r="A350" t="s">
        <v>815</v>
      </c>
      <c r="B350" t="s">
        <v>1140</v>
      </c>
      <c r="C350" t="s">
        <v>1129</v>
      </c>
    </row>
    <row r="351" spans="1:3" x14ac:dyDescent="0.3">
      <c r="A351" t="s">
        <v>1225</v>
      </c>
      <c r="B351" t="s">
        <v>1121</v>
      </c>
      <c r="C351" t="s">
        <v>1122</v>
      </c>
    </row>
    <row r="352" spans="1:3" x14ac:dyDescent="0.3">
      <c r="A352" t="s">
        <v>707</v>
      </c>
      <c r="B352" t="s">
        <v>1203</v>
      </c>
      <c r="C352" t="s">
        <v>1122</v>
      </c>
    </row>
    <row r="353" spans="1:3" x14ac:dyDescent="0.3">
      <c r="A353" t="s">
        <v>1243</v>
      </c>
      <c r="B353" t="s">
        <v>1209</v>
      </c>
      <c r="C353" t="s">
        <v>1122</v>
      </c>
    </row>
    <row r="354" spans="1:3" x14ac:dyDescent="0.3">
      <c r="A354" t="s">
        <v>637</v>
      </c>
      <c r="B354" t="s">
        <v>1143</v>
      </c>
      <c r="C354" t="s">
        <v>1129</v>
      </c>
    </row>
    <row r="355" spans="1:3" x14ac:dyDescent="0.3">
      <c r="A355" t="s">
        <v>1244</v>
      </c>
      <c r="B355" t="s">
        <v>1144</v>
      </c>
      <c r="C355" t="s">
        <v>1129</v>
      </c>
    </row>
    <row r="356" spans="1:3" x14ac:dyDescent="0.3">
      <c r="A356" t="s">
        <v>743</v>
      </c>
      <c r="B356" t="s">
        <v>1145</v>
      </c>
      <c r="C356" t="s">
        <v>1129</v>
      </c>
    </row>
    <row r="357" spans="1:3" x14ac:dyDescent="0.3">
      <c r="A357" t="s">
        <v>632</v>
      </c>
      <c r="B357" t="s">
        <v>1146</v>
      </c>
      <c r="C357" t="s">
        <v>1129</v>
      </c>
    </row>
    <row r="358" spans="1:3" x14ac:dyDescent="0.3">
      <c r="A358" t="s">
        <v>989</v>
      </c>
      <c r="B358" t="s">
        <v>1204</v>
      </c>
      <c r="C358" t="s">
        <v>1122</v>
      </c>
    </row>
    <row r="359" spans="1:3" x14ac:dyDescent="0.3">
      <c r="A359" t="s">
        <v>1245</v>
      </c>
      <c r="B359" t="s">
        <v>1171</v>
      </c>
      <c r="C359" t="s">
        <v>1122</v>
      </c>
    </row>
    <row r="360" spans="1:3" x14ac:dyDescent="0.3">
      <c r="A360" t="s">
        <v>1246</v>
      </c>
      <c r="B360" t="s">
        <v>1162</v>
      </c>
      <c r="C360" t="s">
        <v>1122</v>
      </c>
    </row>
    <row r="361" spans="1:3" x14ac:dyDescent="0.3">
      <c r="A361" t="s">
        <v>1247</v>
      </c>
      <c r="B361" t="s">
        <v>1228</v>
      </c>
      <c r="C361" t="s">
        <v>1122</v>
      </c>
    </row>
    <row r="362" spans="1:3" x14ac:dyDescent="0.3">
      <c r="A362" t="s">
        <v>1248</v>
      </c>
      <c r="B362" t="s">
        <v>1187</v>
      </c>
      <c r="C362" t="s">
        <v>1122</v>
      </c>
    </row>
    <row r="363" spans="1:3" x14ac:dyDescent="0.3">
      <c r="A363" t="s">
        <v>943</v>
      </c>
      <c r="B363" t="s">
        <v>1167</v>
      </c>
      <c r="C363" t="s">
        <v>1129</v>
      </c>
    </row>
    <row r="364" spans="1:3" x14ac:dyDescent="0.3">
      <c r="A364" t="s">
        <v>683</v>
      </c>
      <c r="B364" t="s">
        <v>1205</v>
      </c>
      <c r="C364" t="s">
        <v>1122</v>
      </c>
    </row>
    <row r="365" spans="1:3" x14ac:dyDescent="0.3">
      <c r="A365" t="s">
        <v>287</v>
      </c>
      <c r="B365" t="s">
        <v>1168</v>
      </c>
      <c r="C365" t="s">
        <v>1129</v>
      </c>
    </row>
    <row r="366" spans="1:3" x14ac:dyDescent="0.3">
      <c r="A366" t="s">
        <v>1249</v>
      </c>
      <c r="B366" t="s">
        <v>1203</v>
      </c>
      <c r="C366" t="s">
        <v>1122</v>
      </c>
    </row>
    <row r="367" spans="1:3" x14ac:dyDescent="0.3">
      <c r="A367" t="s">
        <v>1250</v>
      </c>
      <c r="B367" t="s">
        <v>1210</v>
      </c>
      <c r="C367" t="s">
        <v>1122</v>
      </c>
    </row>
    <row r="368" spans="1:3" x14ac:dyDescent="0.3">
      <c r="A368" t="s">
        <v>1251</v>
      </c>
      <c r="B368" t="s">
        <v>1193</v>
      </c>
      <c r="C368" t="s">
        <v>1122</v>
      </c>
    </row>
    <row r="369" spans="1:3" x14ac:dyDescent="0.3">
      <c r="A369" t="s">
        <v>1252</v>
      </c>
      <c r="B369" t="s">
        <v>1213</v>
      </c>
      <c r="C369" t="s">
        <v>1122</v>
      </c>
    </row>
    <row r="370" spans="1:3" x14ac:dyDescent="0.3">
      <c r="A370" t="s">
        <v>1253</v>
      </c>
      <c r="B370" t="s">
        <v>1201</v>
      </c>
      <c r="C370" t="s">
        <v>1122</v>
      </c>
    </row>
    <row r="371" spans="1:3" x14ac:dyDescent="0.3">
      <c r="A371" t="s">
        <v>1254</v>
      </c>
      <c r="B371" t="s">
        <v>1141</v>
      </c>
      <c r="C371" t="s">
        <v>1122</v>
      </c>
    </row>
    <row r="372" spans="1:3" x14ac:dyDescent="0.3">
      <c r="A372" t="s">
        <v>1255</v>
      </c>
      <c r="B372" t="s">
        <v>1173</v>
      </c>
      <c r="C372" t="s">
        <v>1122</v>
      </c>
    </row>
    <row r="373" spans="1:3" x14ac:dyDescent="0.3">
      <c r="A373" t="s">
        <v>425</v>
      </c>
      <c r="B373" t="s">
        <v>1169</v>
      </c>
      <c r="C373" t="s">
        <v>1129</v>
      </c>
    </row>
    <row r="374" spans="1:3" x14ac:dyDescent="0.3">
      <c r="A374" t="s">
        <v>1256</v>
      </c>
      <c r="B374" t="s">
        <v>1164</v>
      </c>
      <c r="C374" t="s">
        <v>1122</v>
      </c>
    </row>
    <row r="375" spans="1:3" x14ac:dyDescent="0.3">
      <c r="A375" t="s">
        <v>1257</v>
      </c>
      <c r="B375" t="s">
        <v>1149</v>
      </c>
      <c r="C375" t="s">
        <v>1122</v>
      </c>
    </row>
    <row r="376" spans="1:3" x14ac:dyDescent="0.3">
      <c r="A376" t="s">
        <v>1258</v>
      </c>
      <c r="B376" t="s">
        <v>1214</v>
      </c>
      <c r="C376" t="s">
        <v>1122</v>
      </c>
    </row>
    <row r="377" spans="1:3" x14ac:dyDescent="0.3">
      <c r="A377" t="s">
        <v>1259</v>
      </c>
      <c r="B377" t="s">
        <v>1209</v>
      </c>
      <c r="C377" t="s">
        <v>1122</v>
      </c>
    </row>
    <row r="378" spans="1:3" x14ac:dyDescent="0.3">
      <c r="A378" t="s">
        <v>1260</v>
      </c>
      <c r="B378" t="s">
        <v>1220</v>
      </c>
      <c r="C378" t="s">
        <v>1122</v>
      </c>
    </row>
    <row r="379" spans="1:3" x14ac:dyDescent="0.3">
      <c r="A379" t="s">
        <v>1261</v>
      </c>
      <c r="B379" t="s">
        <v>1170</v>
      </c>
      <c r="C379" t="s">
        <v>1129</v>
      </c>
    </row>
    <row r="380" spans="1:3" x14ac:dyDescent="0.3">
      <c r="A380" t="s">
        <v>1262</v>
      </c>
      <c r="B380" t="s">
        <v>1172</v>
      </c>
      <c r="C380" t="s">
        <v>1122</v>
      </c>
    </row>
    <row r="381" spans="1:3" x14ac:dyDescent="0.3">
      <c r="A381" t="s">
        <v>1263</v>
      </c>
      <c r="B381" t="s">
        <v>1121</v>
      </c>
      <c r="C381" t="s">
        <v>1122</v>
      </c>
    </row>
    <row r="382" spans="1:3" x14ac:dyDescent="0.3">
      <c r="A382" t="s">
        <v>1256</v>
      </c>
      <c r="B382" t="s">
        <v>1155</v>
      </c>
      <c r="C382" t="s">
        <v>1122</v>
      </c>
    </row>
    <row r="383" spans="1:3" x14ac:dyDescent="0.3">
      <c r="A383" t="s">
        <v>1264</v>
      </c>
      <c r="B383" t="s">
        <v>1265</v>
      </c>
      <c r="C383" t="s">
        <v>1122</v>
      </c>
    </row>
    <row r="384" spans="1:3" x14ac:dyDescent="0.3">
      <c r="A384" t="s">
        <v>1266</v>
      </c>
      <c r="B384" t="s">
        <v>1202</v>
      </c>
      <c r="C384" t="s">
        <v>1122</v>
      </c>
    </row>
    <row r="385" spans="1:3" x14ac:dyDescent="0.3">
      <c r="A385" t="s">
        <v>1267</v>
      </c>
      <c r="B385" t="s">
        <v>1125</v>
      </c>
      <c r="C385" t="s">
        <v>1122</v>
      </c>
    </row>
    <row r="386" spans="1:3" x14ac:dyDescent="0.3">
      <c r="A386" t="s">
        <v>499</v>
      </c>
      <c r="B386" t="s">
        <v>1175</v>
      </c>
      <c r="C386" t="s">
        <v>1129</v>
      </c>
    </row>
    <row r="387" spans="1:3" x14ac:dyDescent="0.3">
      <c r="A387" t="s">
        <v>1032</v>
      </c>
      <c r="B387" t="s">
        <v>1163</v>
      </c>
      <c r="C387" t="s">
        <v>1122</v>
      </c>
    </row>
    <row r="388" spans="1:3" x14ac:dyDescent="0.3">
      <c r="A388" t="s">
        <v>547</v>
      </c>
      <c r="B388" t="s">
        <v>1176</v>
      </c>
      <c r="C388" t="s">
        <v>1129</v>
      </c>
    </row>
    <row r="389" spans="1:3" x14ac:dyDescent="0.3">
      <c r="A389" t="s">
        <v>306</v>
      </c>
      <c r="B389" t="s">
        <v>1124</v>
      </c>
      <c r="C389" t="s">
        <v>1122</v>
      </c>
    </row>
    <row r="390" spans="1:3" x14ac:dyDescent="0.3">
      <c r="A390" t="s">
        <v>1255</v>
      </c>
      <c r="B390" t="s">
        <v>1215</v>
      </c>
      <c r="C390" t="s">
        <v>1122</v>
      </c>
    </row>
    <row r="391" spans="1:3" x14ac:dyDescent="0.3">
      <c r="A391" t="s">
        <v>509</v>
      </c>
      <c r="B391" t="s">
        <v>1206</v>
      </c>
      <c r="C391" t="s">
        <v>1122</v>
      </c>
    </row>
    <row r="392" spans="1:3" x14ac:dyDescent="0.3">
      <c r="A392" t="s">
        <v>1268</v>
      </c>
      <c r="B392" t="s">
        <v>1165</v>
      </c>
      <c r="C392" t="s">
        <v>1122</v>
      </c>
    </row>
    <row r="393" spans="1:3" x14ac:dyDescent="0.3">
      <c r="A393" t="s">
        <v>1269</v>
      </c>
      <c r="B393" t="s">
        <v>1205</v>
      </c>
      <c r="C393" t="s">
        <v>1122</v>
      </c>
    </row>
    <row r="394" spans="1:3" x14ac:dyDescent="0.3">
      <c r="A394" t="s">
        <v>319</v>
      </c>
      <c r="B394" t="s">
        <v>1177</v>
      </c>
      <c r="C394" t="s">
        <v>1129</v>
      </c>
    </row>
    <row r="395" spans="1:3" x14ac:dyDescent="0.3">
      <c r="A395" t="s">
        <v>1270</v>
      </c>
      <c r="B395" t="s">
        <v>1136</v>
      </c>
      <c r="C395" t="s">
        <v>1122</v>
      </c>
    </row>
    <row r="396" spans="1:3" x14ac:dyDescent="0.3">
      <c r="A396" t="s">
        <v>1271</v>
      </c>
      <c r="B396" t="s">
        <v>1162</v>
      </c>
      <c r="C396" t="s">
        <v>1122</v>
      </c>
    </row>
    <row r="397" spans="1:3" x14ac:dyDescent="0.3">
      <c r="A397" t="s">
        <v>1272</v>
      </c>
      <c r="B397" t="s">
        <v>1178</v>
      </c>
      <c r="C397" t="s">
        <v>1129</v>
      </c>
    </row>
    <row r="398" spans="1:3" x14ac:dyDescent="0.3">
      <c r="A398" t="s">
        <v>539</v>
      </c>
      <c r="B398" t="s">
        <v>1218</v>
      </c>
      <c r="C398" t="s">
        <v>1122</v>
      </c>
    </row>
    <row r="399" spans="1:3" x14ac:dyDescent="0.3">
      <c r="A399" t="s">
        <v>539</v>
      </c>
      <c r="B399" t="s">
        <v>1124</v>
      </c>
      <c r="C399" t="s">
        <v>1122</v>
      </c>
    </row>
    <row r="400" spans="1:3" x14ac:dyDescent="0.3">
      <c r="A400" t="s">
        <v>1273</v>
      </c>
      <c r="B400" t="s">
        <v>1210</v>
      </c>
      <c r="C400" t="s">
        <v>1122</v>
      </c>
    </row>
    <row r="401" spans="1:3" x14ac:dyDescent="0.3">
      <c r="A401" t="s">
        <v>66</v>
      </c>
      <c r="B401" t="s">
        <v>1155</v>
      </c>
      <c r="C401" t="s">
        <v>1122</v>
      </c>
    </row>
    <row r="402" spans="1:3" x14ac:dyDescent="0.3">
      <c r="A402" t="s">
        <v>1270</v>
      </c>
      <c r="B402" t="s">
        <v>1127</v>
      </c>
      <c r="C402" t="s">
        <v>1122</v>
      </c>
    </row>
    <row r="403" spans="1:3" x14ac:dyDescent="0.3">
      <c r="A403" t="s">
        <v>1274</v>
      </c>
      <c r="B403" t="s">
        <v>1141</v>
      </c>
      <c r="C403" t="s">
        <v>1122</v>
      </c>
    </row>
    <row r="404" spans="1:3" x14ac:dyDescent="0.3">
      <c r="A404" t="s">
        <v>1275</v>
      </c>
      <c r="B404" t="s">
        <v>1204</v>
      </c>
      <c r="C404" t="s">
        <v>1122</v>
      </c>
    </row>
    <row r="405" spans="1:3" x14ac:dyDescent="0.3">
      <c r="A405" t="s">
        <v>1276</v>
      </c>
      <c r="B405" t="s">
        <v>1214</v>
      </c>
      <c r="C405" t="s">
        <v>1122</v>
      </c>
    </row>
    <row r="406" spans="1:3" x14ac:dyDescent="0.3">
      <c r="A406" t="s">
        <v>1277</v>
      </c>
      <c r="B406" t="s">
        <v>1179</v>
      </c>
      <c r="C406" t="s">
        <v>1129</v>
      </c>
    </row>
    <row r="407" spans="1:3" x14ac:dyDescent="0.3">
      <c r="A407" t="s">
        <v>1278</v>
      </c>
      <c r="B407" t="s">
        <v>1207</v>
      </c>
      <c r="C407" t="s">
        <v>1122</v>
      </c>
    </row>
    <row r="408" spans="1:3" x14ac:dyDescent="0.3">
      <c r="A408" t="s">
        <v>1257</v>
      </c>
      <c r="B408" t="s">
        <v>1127</v>
      </c>
      <c r="C408" t="s">
        <v>1122</v>
      </c>
    </row>
    <row r="409" spans="1:3" x14ac:dyDescent="0.3">
      <c r="A409" t="s">
        <v>1279</v>
      </c>
      <c r="B409" t="s">
        <v>1202</v>
      </c>
      <c r="C409" t="s">
        <v>1122</v>
      </c>
    </row>
    <row r="410" spans="1:3" x14ac:dyDescent="0.3">
      <c r="A410" t="s">
        <v>1239</v>
      </c>
      <c r="B410" t="s">
        <v>1265</v>
      </c>
      <c r="C410" t="s">
        <v>1122</v>
      </c>
    </row>
    <row r="411" spans="1:3" x14ac:dyDescent="0.3">
      <c r="A411" t="s">
        <v>169</v>
      </c>
      <c r="B411" t="s">
        <v>1164</v>
      </c>
      <c r="C411" t="s">
        <v>1122</v>
      </c>
    </row>
    <row r="412" spans="1:3" x14ac:dyDescent="0.3">
      <c r="A412" t="s">
        <v>1280</v>
      </c>
      <c r="B412" t="s">
        <v>1135</v>
      </c>
      <c r="C412" t="s">
        <v>1122</v>
      </c>
    </row>
    <row r="413" spans="1:3" x14ac:dyDescent="0.3">
      <c r="A413" t="s">
        <v>1281</v>
      </c>
      <c r="B413" t="s">
        <v>1211</v>
      </c>
      <c r="C413" t="s">
        <v>1122</v>
      </c>
    </row>
    <row r="414" spans="1:3" x14ac:dyDescent="0.3">
      <c r="A414" t="s">
        <v>516</v>
      </c>
      <c r="B414" t="s">
        <v>1182</v>
      </c>
      <c r="C414" t="s">
        <v>1129</v>
      </c>
    </row>
    <row r="415" spans="1:3" x14ac:dyDescent="0.3">
      <c r="A415" t="s">
        <v>434</v>
      </c>
      <c r="B415" t="s">
        <v>1216</v>
      </c>
      <c r="C415" t="s">
        <v>1122</v>
      </c>
    </row>
    <row r="416" spans="1:3" x14ac:dyDescent="0.3">
      <c r="A416" t="s">
        <v>1282</v>
      </c>
      <c r="B416" t="s">
        <v>1219</v>
      </c>
      <c r="C416" t="s">
        <v>1122</v>
      </c>
    </row>
    <row r="417" spans="1:3" x14ac:dyDescent="0.3">
      <c r="A417" t="s">
        <v>1283</v>
      </c>
      <c r="B417" t="s">
        <v>1172</v>
      </c>
      <c r="C417" t="s">
        <v>1122</v>
      </c>
    </row>
    <row r="418" spans="1:3" x14ac:dyDescent="0.3">
      <c r="A418" t="s">
        <v>1249</v>
      </c>
      <c r="B418" t="s">
        <v>1228</v>
      </c>
      <c r="C418" t="s">
        <v>1284</v>
      </c>
    </row>
    <row r="419" spans="1:3" x14ac:dyDescent="0.3">
      <c r="A419" t="s">
        <v>437</v>
      </c>
      <c r="B419" t="s">
        <v>1194</v>
      </c>
      <c r="C419" t="s">
        <v>1122</v>
      </c>
    </row>
    <row r="420" spans="1:3" x14ac:dyDescent="0.3">
      <c r="A420" t="s">
        <v>1285</v>
      </c>
      <c r="B420" t="s">
        <v>1155</v>
      </c>
      <c r="C420" t="s">
        <v>1122</v>
      </c>
    </row>
    <row r="421" spans="1:3" x14ac:dyDescent="0.3">
      <c r="A421" t="s">
        <v>818</v>
      </c>
      <c r="B421" t="s">
        <v>1183</v>
      </c>
      <c r="C421" t="s">
        <v>1129</v>
      </c>
    </row>
    <row r="422" spans="1:3" x14ac:dyDescent="0.3">
      <c r="A422" t="s">
        <v>1225</v>
      </c>
      <c r="B422" t="s">
        <v>1181</v>
      </c>
      <c r="C422" t="s">
        <v>1122</v>
      </c>
    </row>
    <row r="423" spans="1:3" x14ac:dyDescent="0.3">
      <c r="A423" t="s">
        <v>968</v>
      </c>
      <c r="B423" t="s">
        <v>1141</v>
      </c>
      <c r="C423" t="s">
        <v>1122</v>
      </c>
    </row>
    <row r="424" spans="1:3" x14ac:dyDescent="0.3">
      <c r="A424" t="s">
        <v>1286</v>
      </c>
      <c r="B424" t="s">
        <v>1149</v>
      </c>
      <c r="C424" t="s">
        <v>1122</v>
      </c>
    </row>
    <row r="425" spans="1:3" x14ac:dyDescent="0.3">
      <c r="A425" t="s">
        <v>628</v>
      </c>
      <c r="B425" t="s">
        <v>1215</v>
      </c>
      <c r="C425" t="s">
        <v>1122</v>
      </c>
    </row>
    <row r="426" spans="1:3" x14ac:dyDescent="0.3">
      <c r="A426" t="s">
        <v>617</v>
      </c>
      <c r="B426" t="s">
        <v>1184</v>
      </c>
      <c r="C426" t="s">
        <v>1129</v>
      </c>
    </row>
    <row r="427" spans="1:3" x14ac:dyDescent="0.3">
      <c r="A427" t="s">
        <v>1287</v>
      </c>
      <c r="B427" t="s">
        <v>1171</v>
      </c>
      <c r="C427" t="s">
        <v>1122</v>
      </c>
    </row>
    <row r="428" spans="1:3" x14ac:dyDescent="0.3">
      <c r="A428" t="s">
        <v>1288</v>
      </c>
      <c r="B428" t="s">
        <v>1212</v>
      </c>
      <c r="C428" t="s">
        <v>1122</v>
      </c>
    </row>
    <row r="429" spans="1:3" x14ac:dyDescent="0.3">
      <c r="A429" t="s">
        <v>1256</v>
      </c>
      <c r="B429" t="s">
        <v>1142</v>
      </c>
      <c r="C429" t="s">
        <v>1122</v>
      </c>
    </row>
    <row r="430" spans="1:3" x14ac:dyDescent="0.3">
      <c r="A430" t="s">
        <v>730</v>
      </c>
      <c r="B430" t="s">
        <v>1165</v>
      </c>
      <c r="C430" t="s">
        <v>1122</v>
      </c>
    </row>
    <row r="431" spans="1:3" x14ac:dyDescent="0.3">
      <c r="A431" t="s">
        <v>1289</v>
      </c>
      <c r="B431" t="s">
        <v>1185</v>
      </c>
      <c r="C431" t="s">
        <v>1129</v>
      </c>
    </row>
    <row r="432" spans="1:3" x14ac:dyDescent="0.3">
      <c r="A432" t="s">
        <v>1262</v>
      </c>
      <c r="B432" t="s">
        <v>1204</v>
      </c>
      <c r="C432" t="s">
        <v>1122</v>
      </c>
    </row>
    <row r="433" spans="1:3" x14ac:dyDescent="0.3">
      <c r="A433" t="s">
        <v>1290</v>
      </c>
      <c r="B433" t="s">
        <v>1265</v>
      </c>
      <c r="C433" t="s">
        <v>1122</v>
      </c>
    </row>
    <row r="434" spans="1:3" x14ac:dyDescent="0.3">
      <c r="A434" t="s">
        <v>1291</v>
      </c>
      <c r="B434" t="s">
        <v>1207</v>
      </c>
      <c r="C434" t="s">
        <v>1122</v>
      </c>
    </row>
    <row r="435" spans="1:3" x14ac:dyDescent="0.3">
      <c r="A435" t="s">
        <v>836</v>
      </c>
      <c r="B435" t="s">
        <v>1220</v>
      </c>
      <c r="C435" t="s">
        <v>1122</v>
      </c>
    </row>
    <row r="436" spans="1:3" x14ac:dyDescent="0.3">
      <c r="A436" t="s">
        <v>1292</v>
      </c>
      <c r="B436" t="s">
        <v>1134</v>
      </c>
      <c r="C436" t="s">
        <v>1129</v>
      </c>
    </row>
    <row r="437" spans="1:3" x14ac:dyDescent="0.3">
      <c r="A437" t="s">
        <v>345</v>
      </c>
      <c r="B437" t="s">
        <v>1162</v>
      </c>
      <c r="C437" t="s">
        <v>1122</v>
      </c>
    </row>
    <row r="438" spans="1:3" x14ac:dyDescent="0.3">
      <c r="A438" t="s">
        <v>1275</v>
      </c>
      <c r="B438" t="s">
        <v>1123</v>
      </c>
      <c r="C438" t="s">
        <v>1122</v>
      </c>
    </row>
    <row r="439" spans="1:3" x14ac:dyDescent="0.3">
      <c r="A439" t="s">
        <v>1293</v>
      </c>
      <c r="B439" t="s">
        <v>1186</v>
      </c>
      <c r="C439" t="s">
        <v>1129</v>
      </c>
    </row>
    <row r="440" spans="1:3" x14ac:dyDescent="0.3">
      <c r="A440" t="s">
        <v>1294</v>
      </c>
      <c r="B440" t="s">
        <v>1218</v>
      </c>
      <c r="C440" t="s">
        <v>1122</v>
      </c>
    </row>
    <row r="441" spans="1:3" x14ac:dyDescent="0.3">
      <c r="A441" t="s">
        <v>1295</v>
      </c>
      <c r="B441" t="s">
        <v>1136</v>
      </c>
      <c r="C441" t="s">
        <v>1122</v>
      </c>
    </row>
    <row r="442" spans="1:3" x14ac:dyDescent="0.3">
      <c r="A442" t="s">
        <v>1296</v>
      </c>
      <c r="B442" t="s">
        <v>1212</v>
      </c>
      <c r="C442" t="s">
        <v>1122</v>
      </c>
    </row>
    <row r="443" spans="1:3" x14ac:dyDescent="0.3">
      <c r="A443" t="s">
        <v>833</v>
      </c>
      <c r="B443" t="s">
        <v>1194</v>
      </c>
      <c r="C443" t="s">
        <v>1122</v>
      </c>
    </row>
    <row r="444" spans="1:3" x14ac:dyDescent="0.3">
      <c r="A444" t="s">
        <v>209</v>
      </c>
      <c r="B444" t="s">
        <v>1188</v>
      </c>
      <c r="C444" t="s">
        <v>1129</v>
      </c>
    </row>
    <row r="445" spans="1:3" x14ac:dyDescent="0.3">
      <c r="A445" t="s">
        <v>707</v>
      </c>
      <c r="B445" t="s">
        <v>1195</v>
      </c>
      <c r="C445" t="s">
        <v>1122</v>
      </c>
    </row>
    <row r="446" spans="1:3" x14ac:dyDescent="0.3">
      <c r="A446" t="s">
        <v>1297</v>
      </c>
      <c r="B446" t="s">
        <v>1265</v>
      </c>
      <c r="C446" t="s">
        <v>1122</v>
      </c>
    </row>
    <row r="447" spans="1:3" x14ac:dyDescent="0.3">
      <c r="A447" t="s">
        <v>602</v>
      </c>
      <c r="B447" t="s">
        <v>1180</v>
      </c>
      <c r="C447" t="s">
        <v>1122</v>
      </c>
    </row>
    <row r="448" spans="1:3" x14ac:dyDescent="0.3">
      <c r="A448" t="s">
        <v>1298</v>
      </c>
      <c r="B448" t="s">
        <v>1194</v>
      </c>
      <c r="C448" t="s">
        <v>1122</v>
      </c>
    </row>
    <row r="449" spans="1:3" x14ac:dyDescent="0.3">
      <c r="A449" t="s">
        <v>628</v>
      </c>
      <c r="B449" t="s">
        <v>1205</v>
      </c>
      <c r="C449" t="s">
        <v>1122</v>
      </c>
    </row>
    <row r="450" spans="1:3" x14ac:dyDescent="0.3">
      <c r="A450" t="s">
        <v>1299</v>
      </c>
      <c r="B450" t="s">
        <v>1125</v>
      </c>
      <c r="C450" t="s">
        <v>1122</v>
      </c>
    </row>
    <row r="451" spans="1:3" x14ac:dyDescent="0.3">
      <c r="A451" t="s">
        <v>1239</v>
      </c>
      <c r="B451" t="s">
        <v>1181</v>
      </c>
      <c r="C451" t="s">
        <v>1122</v>
      </c>
    </row>
    <row r="452" spans="1:3" x14ac:dyDescent="0.3">
      <c r="A452" t="s">
        <v>260</v>
      </c>
      <c r="B452" t="s">
        <v>1127</v>
      </c>
      <c r="C452" t="s">
        <v>1122</v>
      </c>
    </row>
    <row r="453" spans="1:3" x14ac:dyDescent="0.3">
      <c r="A453" t="s">
        <v>1300</v>
      </c>
      <c r="B453" t="s">
        <v>1189</v>
      </c>
      <c r="C453" t="s">
        <v>1129</v>
      </c>
    </row>
    <row r="454" spans="1:3" x14ac:dyDescent="0.3">
      <c r="A454" t="s">
        <v>1301</v>
      </c>
      <c r="B454" t="s">
        <v>1194</v>
      </c>
      <c r="C454" t="s">
        <v>1122</v>
      </c>
    </row>
    <row r="455" spans="1:3" x14ac:dyDescent="0.3">
      <c r="A455" t="s">
        <v>476</v>
      </c>
      <c r="B455" t="s">
        <v>1195</v>
      </c>
      <c r="C455" t="s">
        <v>1122</v>
      </c>
    </row>
    <row r="456" spans="1:3" x14ac:dyDescent="0.3">
      <c r="A456" t="s">
        <v>1302</v>
      </c>
      <c r="B456" t="s">
        <v>1156</v>
      </c>
      <c r="C456" t="s">
        <v>1122</v>
      </c>
    </row>
    <row r="457" spans="1:3" x14ac:dyDescent="0.3">
      <c r="A457" t="s">
        <v>1271</v>
      </c>
      <c r="B457" t="s">
        <v>1206</v>
      </c>
      <c r="C457" t="s">
        <v>1122</v>
      </c>
    </row>
    <row r="458" spans="1:3" x14ac:dyDescent="0.3">
      <c r="A458" t="s">
        <v>843</v>
      </c>
      <c r="B458" t="s">
        <v>1190</v>
      </c>
      <c r="C458" t="s">
        <v>1129</v>
      </c>
    </row>
    <row r="459" spans="1:3" x14ac:dyDescent="0.3">
      <c r="A459" t="s">
        <v>437</v>
      </c>
      <c r="B459" t="s">
        <v>1215</v>
      </c>
      <c r="C459" t="s">
        <v>1122</v>
      </c>
    </row>
    <row r="460" spans="1:3" x14ac:dyDescent="0.3">
      <c r="A460" t="s">
        <v>1303</v>
      </c>
      <c r="B460" t="s">
        <v>1208</v>
      </c>
      <c r="C460" t="s">
        <v>1122</v>
      </c>
    </row>
    <row r="461" spans="1:3" x14ac:dyDescent="0.3">
      <c r="A461" t="s">
        <v>315</v>
      </c>
      <c r="B461" t="s">
        <v>1211</v>
      </c>
      <c r="C461" t="s">
        <v>1122</v>
      </c>
    </row>
    <row r="462" spans="1:3" x14ac:dyDescent="0.3">
      <c r="A462" t="s">
        <v>767</v>
      </c>
      <c r="B462" t="s">
        <v>1228</v>
      </c>
      <c r="C462" t="s">
        <v>1122</v>
      </c>
    </row>
    <row r="463" spans="1:3" x14ac:dyDescent="0.3">
      <c r="A463" t="s">
        <v>1243</v>
      </c>
      <c r="B463" t="s">
        <v>1148</v>
      </c>
      <c r="C463" t="s">
        <v>1122</v>
      </c>
    </row>
    <row r="464" spans="1:3" x14ac:dyDescent="0.3">
      <c r="A464" t="s">
        <v>1304</v>
      </c>
      <c r="B464" t="s">
        <v>1148</v>
      </c>
      <c r="C464" t="s">
        <v>1122</v>
      </c>
    </row>
    <row r="465" spans="1:3" x14ac:dyDescent="0.3">
      <c r="A465" t="s">
        <v>1232</v>
      </c>
      <c r="B465" t="s">
        <v>1214</v>
      </c>
      <c r="C465" t="s">
        <v>1122</v>
      </c>
    </row>
    <row r="466" spans="1:3" x14ac:dyDescent="0.3">
      <c r="A466" t="s">
        <v>1305</v>
      </c>
      <c r="B466" t="s">
        <v>1135</v>
      </c>
      <c r="C466" t="s">
        <v>1122</v>
      </c>
    </row>
    <row r="467" spans="1:3" x14ac:dyDescent="0.3">
      <c r="A467" t="s">
        <v>1306</v>
      </c>
      <c r="B467" t="s">
        <v>1142</v>
      </c>
      <c r="C467" t="s">
        <v>1122</v>
      </c>
    </row>
    <row r="468" spans="1:3" x14ac:dyDescent="0.3">
      <c r="A468" t="s">
        <v>1307</v>
      </c>
      <c r="B468" t="s">
        <v>1192</v>
      </c>
      <c r="C468" t="s">
        <v>1129</v>
      </c>
    </row>
    <row r="469" spans="1:3" x14ac:dyDescent="0.3">
      <c r="A469" t="s">
        <v>1308</v>
      </c>
      <c r="B469" t="s">
        <v>1265</v>
      </c>
      <c r="C469" t="s">
        <v>1122</v>
      </c>
    </row>
    <row r="470" spans="1:3" x14ac:dyDescent="0.3">
      <c r="A470" t="s">
        <v>924</v>
      </c>
      <c r="B470" t="s">
        <v>1212</v>
      </c>
      <c r="C470" t="s">
        <v>1122</v>
      </c>
    </row>
    <row r="471" spans="1:3" x14ac:dyDescent="0.3">
      <c r="A471" t="s">
        <v>730</v>
      </c>
      <c r="B471" t="s">
        <v>1216</v>
      </c>
      <c r="C471" t="s">
        <v>1122</v>
      </c>
    </row>
    <row r="472" spans="1:3" x14ac:dyDescent="0.3">
      <c r="A472" t="s">
        <v>564</v>
      </c>
      <c r="B472" t="s">
        <v>1201</v>
      </c>
      <c r="C472" t="s">
        <v>1122</v>
      </c>
    </row>
    <row r="473" spans="1:3" x14ac:dyDescent="0.3">
      <c r="A473" t="s">
        <v>1221</v>
      </c>
      <c r="B473" t="s">
        <v>1149</v>
      </c>
      <c r="C473" t="s">
        <v>1122</v>
      </c>
    </row>
    <row r="474" spans="1:3" x14ac:dyDescent="0.3">
      <c r="A474" t="s">
        <v>623</v>
      </c>
      <c r="B474" t="s">
        <v>1208</v>
      </c>
      <c r="C474" t="s">
        <v>1122</v>
      </c>
    </row>
    <row r="475" spans="1:3" x14ac:dyDescent="0.3">
      <c r="A475" t="s">
        <v>1309</v>
      </c>
      <c r="B475" t="s">
        <v>1196</v>
      </c>
      <c r="C475" t="s">
        <v>1129</v>
      </c>
    </row>
    <row r="476" spans="1:3" x14ac:dyDescent="0.3">
      <c r="A476" t="s">
        <v>1221</v>
      </c>
      <c r="B476" t="s">
        <v>1172</v>
      </c>
      <c r="C476" t="s">
        <v>1122</v>
      </c>
    </row>
    <row r="477" spans="1:3" x14ac:dyDescent="0.3">
      <c r="A477" t="s">
        <v>434</v>
      </c>
      <c r="B477" t="s">
        <v>1213</v>
      </c>
      <c r="C477" t="s">
        <v>1122</v>
      </c>
    </row>
    <row r="478" spans="1:3" x14ac:dyDescent="0.3">
      <c r="A478" t="s">
        <v>1310</v>
      </c>
      <c r="B478" t="s">
        <v>1174</v>
      </c>
      <c r="C478" t="s">
        <v>1122</v>
      </c>
    </row>
    <row r="479" spans="1:3" x14ac:dyDescent="0.3">
      <c r="A479" t="s">
        <v>1311</v>
      </c>
      <c r="B479" t="s">
        <v>1194</v>
      </c>
      <c r="C479" t="s">
        <v>1122</v>
      </c>
    </row>
    <row r="480" spans="1:3" x14ac:dyDescent="0.3">
      <c r="A480" t="s">
        <v>1238</v>
      </c>
      <c r="B480" t="s">
        <v>1201</v>
      </c>
      <c r="C480" t="s">
        <v>1122</v>
      </c>
    </row>
    <row r="481" spans="1:3" x14ac:dyDescent="0.3">
      <c r="A481" t="s">
        <v>1312</v>
      </c>
      <c r="B481" t="s">
        <v>1197</v>
      </c>
      <c r="C481" t="s">
        <v>1129</v>
      </c>
    </row>
    <row r="482" spans="1:3" x14ac:dyDescent="0.3">
      <c r="A482" t="s">
        <v>502</v>
      </c>
      <c r="B482" t="s">
        <v>1211</v>
      </c>
      <c r="C482" t="s">
        <v>1122</v>
      </c>
    </row>
    <row r="483" spans="1:3" x14ac:dyDescent="0.3">
      <c r="A483" t="s">
        <v>1246</v>
      </c>
      <c r="B483" t="s">
        <v>1203</v>
      </c>
      <c r="C483" t="s">
        <v>1122</v>
      </c>
    </row>
    <row r="484" spans="1:3" x14ac:dyDescent="0.3">
      <c r="A484" t="s">
        <v>767</v>
      </c>
      <c r="B484" t="s">
        <v>1216</v>
      </c>
      <c r="C484" t="s">
        <v>1122</v>
      </c>
    </row>
    <row r="485" spans="1:3" x14ac:dyDescent="0.3">
      <c r="A485" t="s">
        <v>1302</v>
      </c>
      <c r="B485" t="s">
        <v>1164</v>
      </c>
      <c r="C485" t="s">
        <v>1122</v>
      </c>
    </row>
    <row r="486" spans="1:3" x14ac:dyDescent="0.3">
      <c r="A486" t="s">
        <v>1313</v>
      </c>
      <c r="B486" t="s">
        <v>1228</v>
      </c>
      <c r="C486" t="s">
        <v>1122</v>
      </c>
    </row>
    <row r="487" spans="1:3" x14ac:dyDescent="0.3">
      <c r="A487" t="s">
        <v>1302</v>
      </c>
      <c r="B487" t="s">
        <v>1216</v>
      </c>
      <c r="C487" t="s">
        <v>1122</v>
      </c>
    </row>
    <row r="488" spans="1:3" x14ac:dyDescent="0.3">
      <c r="A488" t="s">
        <v>1314</v>
      </c>
      <c r="B488" t="s">
        <v>1198</v>
      </c>
      <c r="C488" t="s">
        <v>1129</v>
      </c>
    </row>
    <row r="489" spans="1:3" x14ac:dyDescent="0.3">
      <c r="A489" t="s">
        <v>1315</v>
      </c>
      <c r="B489" t="s">
        <v>1135</v>
      </c>
      <c r="C489" t="s">
        <v>1122</v>
      </c>
    </row>
    <row r="490" spans="1:3" x14ac:dyDescent="0.3">
      <c r="A490" t="s">
        <v>1275</v>
      </c>
      <c r="B490" t="s">
        <v>1171</v>
      </c>
      <c r="C490" t="s">
        <v>1122</v>
      </c>
    </row>
    <row r="491" spans="1:3" x14ac:dyDescent="0.3">
      <c r="A491" t="s">
        <v>1238</v>
      </c>
      <c r="B491" t="s">
        <v>1141</v>
      </c>
      <c r="C491" t="s">
        <v>1122</v>
      </c>
    </row>
    <row r="492" spans="1:3" x14ac:dyDescent="0.3">
      <c r="A492" t="s">
        <v>1316</v>
      </c>
      <c r="B492" t="s">
        <v>1199</v>
      </c>
      <c r="C492" t="s">
        <v>1129</v>
      </c>
    </row>
    <row r="493" spans="1:3" x14ac:dyDescent="0.3">
      <c r="A493" t="s">
        <v>1254</v>
      </c>
      <c r="B493" t="s">
        <v>1214</v>
      </c>
      <c r="C493" t="s">
        <v>1122</v>
      </c>
    </row>
    <row r="494" spans="1:3" x14ac:dyDescent="0.3">
      <c r="A494" t="s">
        <v>1232</v>
      </c>
      <c r="B494" t="s">
        <v>1203</v>
      </c>
      <c r="C494" t="s">
        <v>1122</v>
      </c>
    </row>
    <row r="495" spans="1:3" x14ac:dyDescent="0.3">
      <c r="A495" t="s">
        <v>767</v>
      </c>
      <c r="B495" t="s">
        <v>1208</v>
      </c>
      <c r="C495" t="s">
        <v>1122</v>
      </c>
    </row>
    <row r="496" spans="1:3" x14ac:dyDescent="0.3">
      <c r="A496" t="s">
        <v>1271</v>
      </c>
      <c r="B496" t="s">
        <v>1218</v>
      </c>
      <c r="C496" t="s">
        <v>1122</v>
      </c>
    </row>
    <row r="497" spans="1:3" x14ac:dyDescent="0.3">
      <c r="A497" t="s">
        <v>1317</v>
      </c>
      <c r="B497" t="s">
        <v>1200</v>
      </c>
      <c r="C497" t="s">
        <v>1129</v>
      </c>
    </row>
    <row r="498" spans="1:3" x14ac:dyDescent="0.3">
      <c r="A498" t="s">
        <v>1318</v>
      </c>
      <c r="B498" t="s">
        <v>1162</v>
      </c>
      <c r="C498" t="s">
        <v>1122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BFA38007DC7104FB2429E2579BC0EF8" ma:contentTypeVersion="4" ma:contentTypeDescription="Создание документа." ma:contentTypeScope="" ma:versionID="2cf488e11441e3463d8dedb307c3980a">
  <xsd:schema xmlns:xsd="http://www.w3.org/2001/XMLSchema" xmlns:xs="http://www.w3.org/2001/XMLSchema" xmlns:p="http://schemas.microsoft.com/office/2006/metadata/properties" xmlns:ns2="99463f5b-32bc-4741-a841-59158d58ed41" targetNamespace="http://schemas.microsoft.com/office/2006/metadata/properties" ma:root="true" ma:fieldsID="3e73052fe200ad59fa95e40574bba883" ns2:_="">
    <xsd:import namespace="99463f5b-32bc-4741-a841-59158d58e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63f5b-32bc-4741-a841-59158d58e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201DC3-FA56-41D0-91B1-1107CF38C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463f5b-32bc-4741-a841-59158d58e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F42D46-42AA-4479-8F87-92196880506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F68C8E-5C28-407C-8B90-2B068BA712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Orders</vt:lpstr>
      <vt:lpstr>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Admin</cp:lastModifiedBy>
  <cp:revision/>
  <dcterms:created xsi:type="dcterms:W3CDTF">2017-05-01T13:03:22Z</dcterms:created>
  <dcterms:modified xsi:type="dcterms:W3CDTF">2024-09-15T12:43:19Z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0x0101000BFA38007DC7104FB2429E2579BC0EF8</vt:lpwstr>
  </property>
</Properties>
</file>